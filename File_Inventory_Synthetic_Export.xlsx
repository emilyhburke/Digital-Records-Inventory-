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emily/Desktop/IPC_interview/"/>
    </mc:Choice>
  </mc:AlternateContent>
  <xr:revisionPtr revIDLastSave="0" documentId="8_{1C47C781-DE6B-5541-9CE3-9FDC9EE90CC3}" xr6:coauthVersionLast="47" xr6:coauthVersionMax="47" xr10:uidLastSave="{00000000-0000-0000-0000-000000000000}"/>
  <bookViews>
    <workbookView xWindow="0" yWindow="0" windowWidth="28800" windowHeight="18000" firstSheet="1" activeTab="11" xr2:uid="{1BE2CD27-4604-4EE5-972D-14813198D21C}"/>
  </bookViews>
  <sheets>
    <sheet name="README" sheetId="3" r:id="rId1"/>
    <sheet name="Lookup_Lists" sheetId="12" r:id="rId2"/>
    <sheet name="File_inventory" sheetId="4" r:id="rId3"/>
    <sheet name="Inventory_Staging" sheetId="15" r:id="rId4"/>
    <sheet name="Renaming_Rules" sheetId="8" r:id="rId5"/>
    <sheet name="Disposition_List" sheetId="6" r:id="rId6"/>
    <sheet name="Dedup_Log" sheetId="5" r:id="rId7"/>
    <sheet name="Tagging_Schema" sheetId="7" r:id="rId8"/>
    <sheet name="SharePoint_Inventory" sheetId="9" r:id="rId9"/>
    <sheet name="SharePoint_Inventory_Export" sheetId="13" r:id="rId10"/>
    <sheet name="Weekly_Status" sheetId="10" r:id="rId11"/>
    <sheet name="Project_Summary" sheetId="14"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50" i="4" l="1"/>
  <c r="C150" i="4" s="1"/>
  <c r="B150" i="4"/>
  <c r="L149" i="4"/>
  <c r="C149" i="4" s="1"/>
  <c r="B149" i="4"/>
  <c r="L148" i="4"/>
  <c r="C148" i="4" s="1"/>
  <c r="B148" i="4"/>
  <c r="L147" i="4"/>
  <c r="C147" i="4" s="1"/>
  <c r="B147" i="4"/>
  <c r="L146" i="4"/>
  <c r="C146" i="4" s="1"/>
  <c r="B146" i="4"/>
  <c r="L145" i="4"/>
  <c r="C145" i="4" s="1"/>
  <c r="B145" i="4"/>
  <c r="L144" i="4"/>
  <c r="C144" i="4" s="1"/>
  <c r="B144" i="4"/>
  <c r="L143" i="4"/>
  <c r="C143" i="4" s="1"/>
  <c r="B143" i="4"/>
  <c r="L142" i="4"/>
  <c r="C142" i="4" s="1"/>
  <c r="B142" i="4"/>
  <c r="L141" i="4"/>
  <c r="C141" i="4" s="1"/>
  <c r="B141" i="4"/>
  <c r="L140" i="4"/>
  <c r="C140" i="4" s="1"/>
  <c r="B140" i="4"/>
  <c r="L139" i="4"/>
  <c r="C139" i="4" s="1"/>
  <c r="B139" i="4"/>
  <c r="L138" i="4"/>
  <c r="C138" i="4" s="1"/>
  <c r="B138" i="4"/>
  <c r="L137" i="4"/>
  <c r="C137" i="4" s="1"/>
  <c r="B137" i="4"/>
  <c r="L136" i="4"/>
  <c r="C136" i="4" s="1"/>
  <c r="B136" i="4"/>
  <c r="L135" i="4"/>
  <c r="C135" i="4" s="1"/>
  <c r="B135" i="4"/>
  <c r="L134" i="4"/>
  <c r="C134" i="4" s="1"/>
  <c r="B134" i="4"/>
  <c r="L133" i="4"/>
  <c r="C133" i="4" s="1"/>
  <c r="B133" i="4"/>
  <c r="L132" i="4"/>
  <c r="C132" i="4" s="1"/>
  <c r="H132" i="4"/>
  <c r="B132" i="4" s="1"/>
  <c r="L131" i="4"/>
  <c r="H131" i="4"/>
  <c r="L130" i="4"/>
  <c r="C130" i="4" s="1"/>
  <c r="H130" i="4"/>
  <c r="B130" i="4" s="1"/>
  <c r="L129" i="4"/>
  <c r="H129" i="4"/>
  <c r="L128" i="4"/>
  <c r="C128" i="4" s="1"/>
  <c r="H128" i="4"/>
  <c r="B128" i="4" s="1"/>
  <c r="L127" i="4"/>
  <c r="C127" i="4" s="1"/>
  <c r="B127" i="4"/>
  <c r="L126" i="4"/>
  <c r="C126" i="4" s="1"/>
  <c r="B126" i="4"/>
  <c r="L125" i="4"/>
  <c r="C125" i="4" s="1"/>
  <c r="B125" i="4"/>
  <c r="L124" i="4"/>
  <c r="C124" i="4" s="1"/>
  <c r="B124" i="4"/>
  <c r="L123" i="4"/>
  <c r="C123" i="4" s="1"/>
  <c r="B123" i="4"/>
  <c r="L122" i="4"/>
  <c r="C122" i="4" s="1"/>
  <c r="B122" i="4"/>
  <c r="L121" i="4"/>
  <c r="C121" i="4" s="1"/>
  <c r="B121" i="4"/>
  <c r="L120" i="4"/>
  <c r="C120" i="4" s="1"/>
  <c r="B120" i="4"/>
  <c r="L119" i="4"/>
  <c r="C119" i="4" s="1"/>
  <c r="B119" i="4"/>
  <c r="L118" i="4"/>
  <c r="C118" i="4" s="1"/>
  <c r="B118" i="4"/>
  <c r="L117" i="4"/>
  <c r="C117" i="4" s="1"/>
  <c r="B117" i="4"/>
  <c r="L116" i="4"/>
  <c r="C116" i="4" s="1"/>
  <c r="B116" i="4"/>
  <c r="L115" i="4"/>
  <c r="C115" i="4" s="1"/>
  <c r="B115" i="4"/>
  <c r="L114" i="4"/>
  <c r="C114" i="4" s="1"/>
  <c r="B114" i="4"/>
  <c r="L113" i="4"/>
  <c r="C113" i="4" s="1"/>
  <c r="B113" i="4"/>
  <c r="L112" i="4"/>
  <c r="C112" i="4" s="1"/>
  <c r="B112" i="4"/>
  <c r="L111" i="4"/>
  <c r="C111" i="4" s="1"/>
  <c r="B111" i="4"/>
  <c r="L110" i="4"/>
  <c r="C110" i="4" s="1"/>
  <c r="B110" i="4"/>
  <c r="L109" i="4"/>
  <c r="C109" i="4" s="1"/>
  <c r="B109" i="4"/>
  <c r="L108" i="4"/>
  <c r="C108" i="4" s="1"/>
  <c r="B108" i="4"/>
  <c r="L107" i="4"/>
  <c r="C107" i="4" s="1"/>
  <c r="B107" i="4"/>
  <c r="L106" i="4"/>
  <c r="C106" i="4" s="1"/>
  <c r="B106" i="4"/>
  <c r="L105" i="4"/>
  <c r="C105" i="4" s="1"/>
  <c r="B105" i="4"/>
  <c r="L104" i="4"/>
  <c r="C104" i="4" s="1"/>
  <c r="B104" i="4"/>
  <c r="L103" i="4"/>
  <c r="C103" i="4" s="1"/>
  <c r="B103" i="4"/>
  <c r="L102" i="4"/>
  <c r="C102" i="4" s="1"/>
  <c r="B102" i="4"/>
  <c r="L101" i="4"/>
  <c r="C101" i="4" s="1"/>
  <c r="B101" i="4"/>
  <c r="L100" i="4"/>
  <c r="C100" i="4" s="1"/>
  <c r="B100" i="4"/>
  <c r="L99" i="4"/>
  <c r="C99" i="4" s="1"/>
  <c r="B99" i="4"/>
  <c r="L98" i="4"/>
  <c r="C98" i="4" s="1"/>
  <c r="B98" i="4"/>
  <c r="L97" i="4"/>
  <c r="C97" i="4" s="1"/>
  <c r="B97" i="4"/>
  <c r="L96" i="4"/>
  <c r="C96" i="4" s="1"/>
  <c r="B96" i="4"/>
  <c r="L95" i="4"/>
  <c r="C95" i="4" s="1"/>
  <c r="B95" i="4"/>
  <c r="L94" i="4"/>
  <c r="C94" i="4" s="1"/>
  <c r="B94" i="4"/>
  <c r="L93" i="4"/>
  <c r="C93" i="4" s="1"/>
  <c r="B93" i="4"/>
  <c r="L92" i="4"/>
  <c r="C92" i="4" s="1"/>
  <c r="B92" i="4"/>
  <c r="L91" i="4"/>
  <c r="C91" i="4" s="1"/>
  <c r="B91" i="4"/>
  <c r="L90" i="4"/>
  <c r="C90" i="4" s="1"/>
  <c r="B90" i="4"/>
  <c r="L89" i="4"/>
  <c r="C89" i="4" s="1"/>
  <c r="B89" i="4"/>
  <c r="L88" i="4"/>
  <c r="C88" i="4" s="1"/>
  <c r="B88" i="4"/>
  <c r="L87" i="4"/>
  <c r="C87" i="4" s="1"/>
  <c r="B87" i="4"/>
  <c r="L86" i="4"/>
  <c r="C86" i="4" s="1"/>
  <c r="B86" i="4"/>
  <c r="L85" i="4"/>
  <c r="C85" i="4" s="1"/>
  <c r="B85" i="4"/>
  <c r="L84" i="4"/>
  <c r="C84" i="4" s="1"/>
  <c r="B84" i="4"/>
  <c r="L83" i="4"/>
  <c r="C83" i="4" s="1"/>
  <c r="B83" i="4"/>
  <c r="L82" i="4"/>
  <c r="C82" i="4" s="1"/>
  <c r="B82" i="4"/>
  <c r="L81" i="4"/>
  <c r="C81" i="4" s="1"/>
  <c r="B81" i="4"/>
  <c r="L80" i="4"/>
  <c r="C80" i="4" s="1"/>
  <c r="B80" i="4"/>
  <c r="L79" i="4"/>
  <c r="C79" i="4" s="1"/>
  <c r="B79" i="4"/>
  <c r="L78" i="4"/>
  <c r="C78" i="4" s="1"/>
  <c r="B78" i="4"/>
  <c r="L77" i="4"/>
  <c r="C77" i="4" s="1"/>
  <c r="B77" i="4"/>
  <c r="L76" i="4"/>
  <c r="C76" i="4" s="1"/>
  <c r="B76" i="4"/>
  <c r="L75" i="4"/>
  <c r="C75" i="4" s="1"/>
  <c r="B75" i="4"/>
  <c r="L74" i="4"/>
  <c r="C74" i="4" s="1"/>
  <c r="B74" i="4"/>
  <c r="L73" i="4"/>
  <c r="C73" i="4" s="1"/>
  <c r="B73" i="4"/>
  <c r="L72" i="4"/>
  <c r="C72" i="4" s="1"/>
  <c r="B72" i="4"/>
  <c r="L71" i="4"/>
  <c r="C71" i="4" s="1"/>
  <c r="B71" i="4"/>
  <c r="L70" i="4"/>
  <c r="C70" i="4" s="1"/>
  <c r="B70" i="4"/>
  <c r="L69" i="4"/>
  <c r="C69" i="4" s="1"/>
  <c r="B69" i="4"/>
  <c r="L68" i="4"/>
  <c r="C68" i="4" s="1"/>
  <c r="B68" i="4"/>
  <c r="L67" i="4"/>
  <c r="C67" i="4" s="1"/>
  <c r="B67" i="4"/>
  <c r="L66" i="4"/>
  <c r="C66" i="4" s="1"/>
  <c r="B66" i="4"/>
  <c r="L65" i="4"/>
  <c r="C65" i="4" s="1"/>
  <c r="B65" i="4"/>
  <c r="L64" i="4"/>
  <c r="C64" i="4" s="1"/>
  <c r="B64" i="4"/>
  <c r="L63" i="4"/>
  <c r="C63" i="4" s="1"/>
  <c r="B63" i="4"/>
  <c r="L62" i="4"/>
  <c r="C62" i="4" s="1"/>
  <c r="B62" i="4"/>
  <c r="L61" i="4"/>
  <c r="C61" i="4" s="1"/>
  <c r="B61" i="4"/>
  <c r="L60" i="4"/>
  <c r="C60" i="4" s="1"/>
  <c r="B60" i="4"/>
  <c r="L59" i="4"/>
  <c r="C59" i="4" s="1"/>
  <c r="B59" i="4"/>
  <c r="L58" i="4"/>
  <c r="C58" i="4" s="1"/>
  <c r="B58" i="4"/>
  <c r="L57" i="4"/>
  <c r="C57" i="4" s="1"/>
  <c r="B57" i="4"/>
  <c r="L56" i="4"/>
  <c r="C56" i="4" s="1"/>
  <c r="B56" i="4"/>
  <c r="L55" i="4"/>
  <c r="H55" i="4"/>
  <c r="L54" i="4"/>
  <c r="H54" i="4"/>
  <c r="B54" i="4" s="1"/>
  <c r="L53" i="4"/>
  <c r="H53" i="4"/>
  <c r="L52" i="4"/>
  <c r="H52" i="4"/>
  <c r="B52" i="4" s="1"/>
  <c r="L51" i="4"/>
  <c r="H51" i="4"/>
  <c r="L50" i="4"/>
  <c r="C50" i="4" s="1"/>
  <c r="B50" i="4"/>
  <c r="L49" i="4"/>
  <c r="C49" i="4" s="1"/>
  <c r="B49" i="4"/>
  <c r="L48" i="4"/>
  <c r="C48" i="4" s="1"/>
  <c r="B48" i="4"/>
  <c r="L47" i="4"/>
  <c r="C47" i="4" s="1"/>
  <c r="B47" i="4"/>
  <c r="L46" i="4"/>
  <c r="C46" i="4" s="1"/>
  <c r="B46" i="4"/>
  <c r="L45" i="4"/>
  <c r="C45" i="4" s="1"/>
  <c r="B45" i="4"/>
  <c r="L44" i="4"/>
  <c r="C44" i="4" s="1"/>
  <c r="B44" i="4"/>
  <c r="L43" i="4"/>
  <c r="C43" i="4" s="1"/>
  <c r="B43" i="4"/>
  <c r="L42" i="4"/>
  <c r="C42" i="4" s="1"/>
  <c r="B42" i="4"/>
  <c r="L41" i="4"/>
  <c r="C41" i="4" s="1"/>
  <c r="B41" i="4"/>
  <c r="C40" i="4"/>
  <c r="B40" i="9" s="1"/>
  <c r="C39" i="4"/>
  <c r="B39" i="9" s="1"/>
  <c r="C38" i="4"/>
  <c r="B38" i="9" s="1"/>
  <c r="C37" i="4"/>
  <c r="C36" i="4"/>
  <c r="C35" i="4"/>
  <c r="C34" i="4"/>
  <c r="C33" i="4"/>
  <c r="C32" i="4"/>
  <c r="B32" i="9" s="1"/>
  <c r="C31" i="4"/>
  <c r="C30" i="4"/>
  <c r="B30" i="9" s="1"/>
  <c r="C29" i="4"/>
  <c r="C28" i="4"/>
  <c r="C27" i="4"/>
  <c r="C26" i="4"/>
  <c r="C25" i="4"/>
  <c r="B25" i="9" s="1"/>
  <c r="C24" i="4"/>
  <c r="C23" i="4"/>
  <c r="B23" i="9" s="1"/>
  <c r="C22" i="4"/>
  <c r="C21" i="4"/>
  <c r="C20" i="4"/>
  <c r="C19" i="4"/>
  <c r="C18" i="4"/>
  <c r="C17" i="4"/>
  <c r="B17" i="9" s="1"/>
  <c r="C16" i="4"/>
  <c r="B16" i="9" s="1"/>
  <c r="C15" i="4"/>
  <c r="B15" i="9" s="1"/>
  <c r="C14" i="4"/>
  <c r="C13" i="4"/>
  <c r="C12" i="4"/>
  <c r="C11" i="4"/>
  <c r="C10" i="4"/>
  <c r="C9" i="4"/>
  <c r="I20" i="6"/>
  <c r="I13" i="6"/>
  <c r="I12" i="6"/>
  <c r="H20" i="6"/>
  <c r="H16" i="6"/>
  <c r="H12" i="6"/>
  <c r="C26" i="6"/>
  <c r="D26" i="6"/>
  <c r="E26" i="6"/>
  <c r="H26" i="6"/>
  <c r="I26" i="6"/>
  <c r="J26" i="6"/>
  <c r="K26" i="6"/>
  <c r="M26" i="6"/>
  <c r="B12" i="9"/>
  <c r="E2" i="6"/>
  <c r="E3" i="6"/>
  <c r="E4" i="6"/>
  <c r="E5" i="6"/>
  <c r="E6" i="6"/>
  <c r="E7" i="6"/>
  <c r="E8" i="6"/>
  <c r="E9" i="6"/>
  <c r="E10" i="6"/>
  <c r="E11" i="6"/>
  <c r="E12" i="6"/>
  <c r="E13" i="6"/>
  <c r="E14" i="6"/>
  <c r="E15" i="6"/>
  <c r="E16" i="6"/>
  <c r="E17" i="6"/>
  <c r="E18" i="6"/>
  <c r="E19" i="6"/>
  <c r="E20" i="6"/>
  <c r="E21" i="6"/>
  <c r="E22" i="6"/>
  <c r="E23" i="6"/>
  <c r="E24" i="6"/>
  <c r="E25" i="6"/>
  <c r="D2" i="6"/>
  <c r="D3" i="6"/>
  <c r="D4" i="6"/>
  <c r="D5" i="6"/>
  <c r="D6" i="6"/>
  <c r="D7" i="6"/>
  <c r="D8" i="6"/>
  <c r="D9" i="6"/>
  <c r="D10" i="6"/>
  <c r="D11" i="6"/>
  <c r="D12" i="6"/>
  <c r="D13" i="6"/>
  <c r="D14" i="6"/>
  <c r="D15" i="6"/>
  <c r="D16" i="6"/>
  <c r="D17" i="6"/>
  <c r="D18" i="6"/>
  <c r="D19" i="6"/>
  <c r="D20" i="6"/>
  <c r="D21" i="6"/>
  <c r="D22" i="6"/>
  <c r="D23" i="6"/>
  <c r="D24" i="6"/>
  <c r="D25" i="6"/>
  <c r="C2" i="4"/>
  <c r="B2" i="9" s="1"/>
  <c r="C3" i="4"/>
  <c r="B3" i="9" s="1"/>
  <c r="C4" i="4"/>
  <c r="B4" i="9" s="1"/>
  <c r="C5" i="4"/>
  <c r="B5" i="9" s="1"/>
  <c r="C6" i="4"/>
  <c r="B6" i="9" s="1"/>
  <c r="C7" i="4"/>
  <c r="B7" i="9" s="1"/>
  <c r="C8" i="4"/>
  <c r="B8" i="9" s="1"/>
  <c r="B9" i="9"/>
  <c r="B10" i="9"/>
  <c r="B13" i="9"/>
  <c r="B14" i="9"/>
  <c r="B18" i="9"/>
  <c r="B19" i="9"/>
  <c r="B20" i="9"/>
  <c r="B21" i="9"/>
  <c r="B22" i="9"/>
  <c r="B29" i="9"/>
  <c r="B31" i="9"/>
  <c r="B33" i="9"/>
  <c r="B34" i="9"/>
  <c r="B36" i="9"/>
  <c r="B37" i="9"/>
  <c r="B11" i="9"/>
  <c r="B24" i="9"/>
  <c r="B26" i="9"/>
  <c r="B27" i="9"/>
  <c r="B28" i="9"/>
  <c r="B35" i="9"/>
  <c r="C2" i="6"/>
  <c r="I22" i="9"/>
  <c r="C2" i="9"/>
  <c r="C3" i="9"/>
  <c r="C4" i="9"/>
  <c r="C5" i="9"/>
  <c r="C6" i="9"/>
  <c r="C7" i="9"/>
  <c r="C9" i="9"/>
  <c r="C10" i="9"/>
  <c r="C11" i="9"/>
  <c r="C12" i="9"/>
  <c r="C13" i="9"/>
  <c r="C14" i="9"/>
  <c r="C15" i="9"/>
  <c r="C16" i="9"/>
  <c r="C17" i="9"/>
  <c r="C18" i="9"/>
  <c r="C19" i="9"/>
  <c r="C20" i="9"/>
  <c r="C21" i="9"/>
  <c r="C22" i="9"/>
  <c r="C23" i="9"/>
  <c r="C24" i="9"/>
  <c r="C25" i="9"/>
  <c r="C26" i="9"/>
  <c r="C27" i="9"/>
  <c r="C28" i="9"/>
  <c r="C29" i="9"/>
  <c r="C31" i="9"/>
  <c r="C32" i="9"/>
  <c r="C33" i="9"/>
  <c r="C34" i="9"/>
  <c r="C35" i="9"/>
  <c r="C36" i="9"/>
  <c r="I2" i="9"/>
  <c r="I3" i="9"/>
  <c r="I4" i="9"/>
  <c r="I5" i="9"/>
  <c r="I6" i="9"/>
  <c r="I7" i="9"/>
  <c r="I8" i="9"/>
  <c r="I9" i="9"/>
  <c r="I10" i="9"/>
  <c r="I11" i="9"/>
  <c r="I12" i="9"/>
  <c r="I13" i="9"/>
  <c r="I14" i="9"/>
  <c r="I15" i="9"/>
  <c r="I16" i="9"/>
  <c r="I17" i="9"/>
  <c r="I18" i="9"/>
  <c r="I19" i="9"/>
  <c r="I20" i="9"/>
  <c r="I21" i="9"/>
  <c r="I23" i="9"/>
  <c r="I24" i="9"/>
  <c r="I25" i="9"/>
  <c r="I26" i="9"/>
  <c r="I27" i="9"/>
  <c r="I28" i="9"/>
  <c r="I29" i="9"/>
  <c r="I30" i="9"/>
  <c r="I31" i="9"/>
  <c r="I32" i="9"/>
  <c r="I33" i="9"/>
  <c r="I34" i="9"/>
  <c r="I35" i="9"/>
  <c r="I36" i="9"/>
  <c r="I37" i="9"/>
  <c r="I38" i="9"/>
  <c r="I39" i="9"/>
  <c r="I40" i="9"/>
  <c r="H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G2"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F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E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D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M8" i="6"/>
  <c r="H9" i="6"/>
  <c r="C4" i="6"/>
  <c r="F4" i="6"/>
  <c r="H4" i="6"/>
  <c r="I4" i="6"/>
  <c r="J4" i="6"/>
  <c r="K4" i="6"/>
  <c r="M4" i="6"/>
  <c r="M6" i="6"/>
  <c r="L2" i="5"/>
  <c r="L3" i="5"/>
  <c r="L4" i="5"/>
  <c r="L5" i="5"/>
  <c r="L6" i="5"/>
  <c r="L7" i="5"/>
  <c r="L8" i="5"/>
  <c r="L9" i="5"/>
  <c r="L10" i="5"/>
  <c r="L11" i="5"/>
  <c r="L12" i="5"/>
  <c r="L13" i="5"/>
  <c r="L14" i="5"/>
  <c r="L15" i="5"/>
  <c r="L16" i="5"/>
  <c r="L17" i="5"/>
  <c r="L18" i="5"/>
  <c r="L19" i="5"/>
  <c r="L20" i="5"/>
  <c r="L21" i="5"/>
  <c r="L22" i="5"/>
  <c r="F2" i="5"/>
  <c r="F3" i="5"/>
  <c r="F4" i="5"/>
  <c r="F5" i="5"/>
  <c r="F6" i="5"/>
  <c r="F7" i="5"/>
  <c r="F8" i="5"/>
  <c r="F9" i="5"/>
  <c r="F10" i="5"/>
  <c r="F11" i="5"/>
  <c r="F12" i="5"/>
  <c r="F13" i="5"/>
  <c r="F14" i="5"/>
  <c r="F15" i="5"/>
  <c r="F16" i="5"/>
  <c r="F17" i="5"/>
  <c r="F18" i="5"/>
  <c r="F19" i="5"/>
  <c r="F20" i="5"/>
  <c r="F21" i="5"/>
  <c r="F22" i="5"/>
  <c r="D2" i="5"/>
  <c r="D3" i="5"/>
  <c r="D4" i="5"/>
  <c r="D5" i="5"/>
  <c r="D6" i="5"/>
  <c r="D7" i="5"/>
  <c r="D8" i="5"/>
  <c r="D9" i="5"/>
  <c r="D10" i="5"/>
  <c r="D11" i="5"/>
  <c r="D12" i="5"/>
  <c r="D13" i="5"/>
  <c r="D14" i="5"/>
  <c r="D15" i="5"/>
  <c r="D16" i="5"/>
  <c r="D17" i="5"/>
  <c r="D18" i="5"/>
  <c r="D19" i="5"/>
  <c r="D20" i="5"/>
  <c r="D21" i="5"/>
  <c r="D22" i="5"/>
  <c r="E2" i="5"/>
  <c r="E3" i="5"/>
  <c r="E4" i="5"/>
  <c r="E5" i="5"/>
  <c r="E6" i="5"/>
  <c r="E7" i="5"/>
  <c r="E8" i="5"/>
  <c r="E9" i="5"/>
  <c r="E10" i="5"/>
  <c r="E11" i="5"/>
  <c r="E12" i="5"/>
  <c r="E13" i="5"/>
  <c r="E14" i="5"/>
  <c r="E15" i="5"/>
  <c r="E16" i="5"/>
  <c r="E17" i="5"/>
  <c r="E18" i="5"/>
  <c r="E19" i="5"/>
  <c r="E20" i="5"/>
  <c r="E21" i="5"/>
  <c r="E22" i="5"/>
  <c r="J17" i="6"/>
  <c r="J2" i="6"/>
  <c r="J6" i="6"/>
  <c r="J16" i="6"/>
  <c r="J11" i="6"/>
  <c r="C3" i="6"/>
  <c r="C5" i="6"/>
  <c r="C6" i="6"/>
  <c r="C7" i="6"/>
  <c r="C8" i="6"/>
  <c r="C9" i="6"/>
  <c r="C10" i="6"/>
  <c r="C11" i="6"/>
  <c r="C12" i="6"/>
  <c r="C13" i="6"/>
  <c r="C14" i="6"/>
  <c r="C15" i="6"/>
  <c r="C16" i="6"/>
  <c r="C17" i="6"/>
  <c r="C18" i="6"/>
  <c r="C19" i="6"/>
  <c r="C20" i="6"/>
  <c r="C21" i="6"/>
  <c r="C22" i="6"/>
  <c r="C23" i="6"/>
  <c r="C24" i="6"/>
  <c r="C25" i="6"/>
  <c r="F2" i="6"/>
  <c r="F3" i="6"/>
  <c r="F5" i="6"/>
  <c r="F6" i="6"/>
  <c r="F8" i="6"/>
  <c r="F9" i="6"/>
  <c r="F10" i="6"/>
  <c r="F11" i="6"/>
  <c r="F12" i="6"/>
  <c r="F13" i="6"/>
  <c r="F14" i="6"/>
  <c r="F15" i="6"/>
  <c r="F16" i="6"/>
  <c r="F17" i="6"/>
  <c r="F18" i="6"/>
  <c r="F19" i="6"/>
  <c r="F20" i="6"/>
  <c r="M2" i="6"/>
  <c r="M3" i="6"/>
  <c r="M5" i="6"/>
  <c r="M7" i="6"/>
  <c r="M9" i="6"/>
  <c r="M10" i="6"/>
  <c r="M11" i="6"/>
  <c r="M12" i="6"/>
  <c r="M13" i="6"/>
  <c r="M14" i="6"/>
  <c r="M15" i="6"/>
  <c r="M16" i="6"/>
  <c r="M17" i="6"/>
  <c r="M18" i="6"/>
  <c r="M19" i="6"/>
  <c r="M20" i="6"/>
  <c r="M21" i="6"/>
  <c r="M22" i="6"/>
  <c r="M23" i="6"/>
  <c r="M24" i="6"/>
  <c r="M25" i="6"/>
  <c r="K2" i="6"/>
  <c r="K3" i="6"/>
  <c r="K5" i="6"/>
  <c r="K6" i="6"/>
  <c r="K7" i="6"/>
  <c r="K8" i="6"/>
  <c r="K9" i="6"/>
  <c r="K10" i="6"/>
  <c r="K11" i="6"/>
  <c r="K12" i="6"/>
  <c r="K13" i="6"/>
  <c r="K14" i="6"/>
  <c r="K15" i="6"/>
  <c r="K16" i="6"/>
  <c r="K17" i="6"/>
  <c r="K18" i="6"/>
  <c r="K19" i="6"/>
  <c r="K20" i="6"/>
  <c r="K21" i="6"/>
  <c r="K22" i="6"/>
  <c r="K23" i="6"/>
  <c r="K24" i="6"/>
  <c r="K25" i="6"/>
  <c r="J3" i="6"/>
  <c r="J5" i="6"/>
  <c r="J7" i="6"/>
  <c r="J8" i="6"/>
  <c r="J9" i="6"/>
  <c r="J10" i="6"/>
  <c r="J12" i="6"/>
  <c r="J13" i="6"/>
  <c r="J14" i="6"/>
  <c r="J15" i="6"/>
  <c r="J18" i="6"/>
  <c r="J19" i="6"/>
  <c r="J20" i="6"/>
  <c r="J21" i="6"/>
  <c r="J22" i="6"/>
  <c r="J23" i="6"/>
  <c r="J24" i="6"/>
  <c r="J25" i="6"/>
  <c r="I2" i="6"/>
  <c r="I3" i="6"/>
  <c r="I5" i="6"/>
  <c r="I6" i="6"/>
  <c r="I7" i="6"/>
  <c r="I8" i="6"/>
  <c r="I9" i="6"/>
  <c r="I10" i="6"/>
  <c r="I11" i="6"/>
  <c r="I14" i="6"/>
  <c r="I15" i="6"/>
  <c r="I16" i="6"/>
  <c r="I17" i="6"/>
  <c r="I18" i="6"/>
  <c r="I19" i="6"/>
  <c r="I21" i="6"/>
  <c r="I22" i="6"/>
  <c r="I23" i="6"/>
  <c r="I24" i="6"/>
  <c r="I25" i="6"/>
  <c r="H2" i="6"/>
  <c r="H3" i="6"/>
  <c r="H5" i="6"/>
  <c r="H6" i="6"/>
  <c r="H7" i="6"/>
  <c r="H8" i="6"/>
  <c r="H10" i="6"/>
  <c r="H11" i="6"/>
  <c r="H13" i="6"/>
  <c r="H14" i="6"/>
  <c r="H15" i="6"/>
  <c r="H17" i="6"/>
  <c r="H18" i="6"/>
  <c r="H19" i="6"/>
  <c r="H21" i="6"/>
  <c r="H22" i="6"/>
  <c r="H23" i="6"/>
  <c r="H24" i="6"/>
  <c r="H25" i="6"/>
  <c r="C51" i="4" l="1"/>
  <c r="C52" i="4"/>
  <c r="C55" i="4"/>
  <c r="C53" i="4"/>
  <c r="C131" i="4"/>
  <c r="C129" i="4"/>
  <c r="C54" i="4"/>
  <c r="B51" i="4"/>
  <c r="B53" i="4"/>
  <c r="B55" i="4"/>
  <c r="B129" i="4"/>
  <c r="B131" i="4"/>
  <c r="J20" i="9"/>
  <c r="K20" i="9" s="1"/>
  <c r="J38" i="9"/>
  <c r="K38" i="9" s="1"/>
  <c r="J14" i="9"/>
  <c r="K14" i="9" s="1"/>
  <c r="J6" i="9"/>
  <c r="K6" i="9" s="1"/>
  <c r="J22" i="9"/>
  <c r="K22" i="9" s="1"/>
  <c r="J30" i="9"/>
  <c r="K30" i="9" s="1"/>
  <c r="J10" i="9"/>
  <c r="K10" i="9" s="1"/>
  <c r="J2" i="9"/>
  <c r="K2" i="9" s="1"/>
  <c r="J12" i="9"/>
  <c r="K12" i="9" s="1"/>
  <c r="J34" i="9"/>
  <c r="K34" i="9" s="1"/>
  <c r="J26" i="9"/>
  <c r="K26" i="9" s="1"/>
  <c r="J18" i="9"/>
  <c r="K18" i="9" s="1"/>
  <c r="J9" i="9"/>
  <c r="K9" i="9" s="1"/>
  <c r="J28" i="9"/>
  <c r="K28" i="9" s="1"/>
  <c r="J39" i="9"/>
  <c r="K39" i="9" s="1"/>
  <c r="J37" i="9"/>
  <c r="K37" i="9" s="1"/>
  <c r="J29" i="9"/>
  <c r="K29" i="9" s="1"/>
  <c r="J21" i="9"/>
  <c r="K21" i="9" s="1"/>
  <c r="J13" i="9"/>
  <c r="K13" i="9" s="1"/>
  <c r="J5" i="9"/>
  <c r="K5" i="9" s="1"/>
  <c r="J33" i="9"/>
  <c r="K33" i="9" s="1"/>
  <c r="J25" i="9"/>
  <c r="K25" i="9" s="1"/>
  <c r="J17" i="9"/>
  <c r="K17" i="9" s="1"/>
  <c r="J40" i="9"/>
  <c r="K40" i="9" s="1"/>
  <c r="J32" i="9"/>
  <c r="K32" i="9" s="1"/>
  <c r="J24" i="9"/>
  <c r="K24" i="9" s="1"/>
  <c r="J16" i="9"/>
  <c r="K16" i="9" s="1"/>
  <c r="J8" i="9"/>
  <c r="K8" i="9" s="1"/>
  <c r="J36" i="9"/>
  <c r="K36" i="9" s="1"/>
  <c r="J35" i="9"/>
  <c r="K35" i="9" s="1"/>
  <c r="J27" i="9"/>
  <c r="K27" i="9" s="1"/>
  <c r="J19" i="9"/>
  <c r="K19" i="9" s="1"/>
  <c r="J11" i="9"/>
  <c r="K11" i="9" s="1"/>
  <c r="J3" i="9"/>
  <c r="K3" i="9" s="1"/>
  <c r="J31" i="9"/>
  <c r="K31" i="9" s="1"/>
  <c r="J23" i="9"/>
  <c r="K23" i="9" s="1"/>
  <c r="J15" i="9"/>
  <c r="K15" i="9" s="1"/>
  <c r="J7" i="9"/>
  <c r="K7" i="9" s="1"/>
  <c r="J4" i="9"/>
  <c r="K4" i="9" s="1"/>
</calcChain>
</file>

<file path=xl/sharedStrings.xml><?xml version="1.0" encoding="utf-8"?>
<sst xmlns="http://schemas.openxmlformats.org/spreadsheetml/2006/main" count="6130" uniqueCount="908">
  <si>
    <t>Public</t>
  </si>
  <si>
    <t>Notes</t>
  </si>
  <si>
    <t>File_ID</t>
  </si>
  <si>
    <t>Current_File_Name</t>
  </si>
  <si>
    <t>Proposed_File_Name</t>
  </si>
  <si>
    <t>Current_File_Path</t>
  </si>
  <si>
    <t>Owner</t>
  </si>
  <si>
    <t>Business_Area</t>
  </si>
  <si>
    <t>File_Type</t>
  </si>
  <si>
    <t>Record_Type</t>
  </si>
  <si>
    <t>Dataset_Source</t>
  </si>
  <si>
    <t>Contains_PII</t>
  </si>
  <si>
    <t>Sensitivity_Level</t>
  </si>
  <si>
    <t>Last_Modified_Date</t>
  </si>
  <si>
    <t>Version_Status</t>
  </si>
  <si>
    <t>Duplicate_Group_ID</t>
  </si>
  <si>
    <t>Duplicate_Flag</t>
  </si>
  <si>
    <t>Orphan_Flag</t>
  </si>
  <si>
    <t>Outdated_Draft_Flag</t>
  </si>
  <si>
    <t>Transitory_Flag</t>
  </si>
  <si>
    <t>Retention_Recommendation</t>
  </si>
  <si>
    <t>Disposition_Status</t>
  </si>
  <si>
    <t>Next_Steps</t>
  </si>
  <si>
    <t>Business Area</t>
  </si>
  <si>
    <t>IT/IM</t>
  </si>
  <si>
    <t>Records Management</t>
  </si>
  <si>
    <t xml:space="preserve">Intake </t>
  </si>
  <si>
    <t>Legal</t>
  </si>
  <si>
    <t>Reporting</t>
  </si>
  <si>
    <t>File Type</t>
  </si>
  <si>
    <t>Excel</t>
  </si>
  <si>
    <t>Word</t>
  </si>
  <si>
    <t>PDF</t>
  </si>
  <si>
    <t>Email Export</t>
  </si>
  <si>
    <t>Scan</t>
  </si>
  <si>
    <t>Version Status</t>
  </si>
  <si>
    <t>Draft</t>
  </si>
  <si>
    <t>Final</t>
  </si>
  <si>
    <t>Superseed</t>
  </si>
  <si>
    <t>Corporate Services</t>
  </si>
  <si>
    <t>Sensititvity Level</t>
  </si>
  <si>
    <t>Internal</t>
  </si>
  <si>
    <t>Restricted</t>
  </si>
  <si>
    <t>Retention Recommendation</t>
  </si>
  <si>
    <t>Keep</t>
  </si>
  <si>
    <t>Dispose</t>
  </si>
  <si>
    <t>Review</t>
  </si>
  <si>
    <t>Not Started</t>
  </si>
  <si>
    <t>Pending Owner</t>
  </si>
  <si>
    <t>Pending Approval</t>
  </si>
  <si>
    <t>Approved to Dispose</t>
  </si>
  <si>
    <t>Disposed</t>
  </si>
  <si>
    <t>Retained</t>
  </si>
  <si>
    <t>Disposition Satus</t>
  </si>
  <si>
    <t>IPC-F-0002</t>
  </si>
  <si>
    <t>IPC-F-0003</t>
  </si>
  <si>
    <t>IPC-F-0004</t>
  </si>
  <si>
    <t>IPC-F-0005</t>
  </si>
  <si>
    <t>IPC-F-0006</t>
  </si>
  <si>
    <t>IPC-F-0007</t>
  </si>
  <si>
    <t>IPC-F-0008</t>
  </si>
  <si>
    <t>IPC-F-0009</t>
  </si>
  <si>
    <t>IPC-F-0010</t>
  </si>
  <si>
    <t>IPC-F-0011</t>
  </si>
  <si>
    <t>IPC-F-0012</t>
  </si>
  <si>
    <t>IPC-F-0013</t>
  </si>
  <si>
    <t>IPC-F-0014</t>
  </si>
  <si>
    <t>IPC-F-0015</t>
  </si>
  <si>
    <t>IPC-F-0017</t>
  </si>
  <si>
    <t>IPC-F-0018</t>
  </si>
  <si>
    <t>IPC-F-0016</t>
  </si>
  <si>
    <t>IPC-F-0019</t>
  </si>
  <si>
    <t>IPC-F-0020</t>
  </si>
  <si>
    <t>IPC-F-0021</t>
  </si>
  <si>
    <t>IPC-F-0022</t>
  </si>
  <si>
    <t>IPC-F-0023</t>
  </si>
  <si>
    <t>IPC-F-0024</t>
  </si>
  <si>
    <t>IPC-F-0025</t>
  </si>
  <si>
    <t>IPC-F-0026</t>
  </si>
  <si>
    <t>IPC-F-0027</t>
  </si>
  <si>
    <t>IPC-F-0028</t>
  </si>
  <si>
    <t>IPC-F-0029</t>
  </si>
  <si>
    <t>IPC-F-0030</t>
  </si>
  <si>
    <t>IPC-F-0031</t>
  </si>
  <si>
    <t>IPC-F-0032</t>
  </si>
  <si>
    <t>IPC-F-0033</t>
  </si>
  <si>
    <t>IPC-F-0034</t>
  </si>
  <si>
    <t>IPC-F-0035</t>
  </si>
  <si>
    <t>IPC-F-0036</t>
  </si>
  <si>
    <t>IPC-F-0037</t>
  </si>
  <si>
    <t>IPC-F-0038</t>
  </si>
  <si>
    <t>IPC-F-0039</t>
  </si>
  <si>
    <t>IPC-F-0040</t>
  </si>
  <si>
    <t>DUP-001</t>
  </si>
  <si>
    <t>Yes</t>
  </si>
  <si>
    <t>Owners</t>
  </si>
  <si>
    <t>Intake_Tracker_TEMP.xlsx</t>
  </si>
  <si>
    <t>Intake_Tracker.xlsx</t>
  </si>
  <si>
    <t>Intake_Tracker_UPDATED.xlsx</t>
  </si>
  <si>
    <t>Approval_Email_Export.msg</t>
  </si>
  <si>
    <t>Approval_Email_Export(1).msg</t>
  </si>
  <si>
    <t>OntarioOpenData_EducationOutcomes_WORKING_v2.xlsx</t>
  </si>
  <si>
    <t>OntarioOpenData_EducationOutcomes_FINAL.xlsx</t>
  </si>
  <si>
    <t>OntarioOpenData_EducationOutcomes_FINAL(1).xlsx</t>
  </si>
  <si>
    <t>EducationOutcomes_Notes_TEMP.xlsx</t>
  </si>
  <si>
    <t>EducationOutcomes_ColumnFixes.xlsx</t>
  </si>
  <si>
    <t>Copy of OntarioOpenData_EducationOutcomes_WORKING.xlsx</t>
  </si>
  <si>
    <t>EducationOutcomes_Export_ForSharePoint.xlsx</t>
  </si>
  <si>
    <t>EducationOutcomes_Export_ForSharePoint_v3.xlsx</t>
  </si>
  <si>
    <t>DUP-002</t>
  </si>
  <si>
    <t>DUP-003</t>
  </si>
  <si>
    <t>IM Lead</t>
  </si>
  <si>
    <t>Policy Intern</t>
  </si>
  <si>
    <t>Records Analyst</t>
  </si>
  <si>
    <t>IT Coordinator</t>
  </si>
  <si>
    <t>OntarioOpenData_EducationOutcomes_WORKING.xlsx</t>
  </si>
  <si>
    <t>\IPC\SharedDrive\IM\Migration_Staging\EducationOutcomes\</t>
  </si>
  <si>
    <t>IT / IM</t>
  </si>
  <si>
    <t>Ontario Open Data</t>
  </si>
  <si>
    <t>No</t>
  </si>
  <si>
    <t>EducationOutcomes_BoardLevel_Working.xlsx</t>
  </si>
  <si>
    <t>Working Dataset</t>
  </si>
  <si>
    <t>Confirm latest working version</t>
  </si>
  <si>
    <t>Part of duplicate group</t>
  </si>
  <si>
    <t>EducationOutcomes_BoardLevel_Working_v2.xlsx</t>
  </si>
  <si>
    <t>Confirm not needed; dispose</t>
  </si>
  <si>
    <t>Older draft copy</t>
  </si>
  <si>
    <t>EducationOutcomes_BoardLevel_FINAL.xlsx</t>
  </si>
  <si>
    <t>Final Dataset</t>
  </si>
  <si>
    <t>Use as authoritative version</t>
  </si>
  <si>
    <t>Final version</t>
  </si>
  <si>
    <t>Superseded</t>
  </si>
  <si>
    <t>Remove duplicate final copy</t>
  </si>
  <si>
    <t>Duplicate of FINAL</t>
  </si>
  <si>
    <t>EducationOutcomes_CleaningNotes_2026-02.xlsx</t>
  </si>
  <si>
    <t>Working Notes</t>
  </si>
  <si>
    <t>EducationOutcomes_DataFixLog.xlsx</t>
  </si>
  <si>
    <t>Data Quality Support</t>
  </si>
  <si>
    <t>Retain as audit support</t>
  </si>
  <si>
    <t>Identify owner; confirm disposal</t>
  </si>
  <si>
    <t>Orphan copy with duplicate content</t>
  </si>
  <si>
    <t>EducationOutcomes_BoardLevel_SharePointExport.xlsx</t>
  </si>
  <si>
    <t>Migration Export</t>
  </si>
  <si>
    <t>Latest export version</t>
  </si>
  <si>
    <t>Weekly_Status_Summary_2026-02-01.docx</t>
  </si>
  <si>
    <t>WeeklyStatus_IMMigration_2026-02-01.docx</t>
  </si>
  <si>
    <t>\IPC\SharedDrive\Reporting\Dashboards\EducationOutcomes\</t>
  </si>
  <si>
    <t>Weekly Status Summary</t>
  </si>
  <si>
    <t>File in weekly reporting folder</t>
  </si>
  <si>
    <t>Week 1 status</t>
  </si>
  <si>
    <t>Weekly_Status_Summary_2026-02-08.docx</t>
  </si>
  <si>
    <t>WeeklyStatus_IMMigration_2026-02-08.docx</t>
  </si>
  <si>
    <t>Week 2 status</t>
  </si>
  <si>
    <t>Weekly_Status_Summary_2026-02-15.docx</t>
  </si>
  <si>
    <t>WeeklyStatus_IMMigration_2026-02-15.docx</t>
  </si>
  <si>
    <t>Week 3 status</t>
  </si>
  <si>
    <t>Board_Outcomes_Dashboard_DRAFT.pptx</t>
  </si>
  <si>
    <t>BoardOutcomes_Dashboard_2026_DRAFT.pptx</t>
  </si>
  <si>
    <t>Program Advisor</t>
  </si>
  <si>
    <t>PowerPoint</t>
  </si>
  <si>
    <t>Dashboard Deck</t>
  </si>
  <si>
    <t>Confirm if draft is needed</t>
  </si>
  <si>
    <t>Early draft deck</t>
  </si>
  <si>
    <t>Board_Outcomes_Dashboard_FINAL.pptx</t>
  </si>
  <si>
    <t>BoardOutcomes_Dashboard_2026_FINAL.pptx</t>
  </si>
  <si>
    <t>DUP-004</t>
  </si>
  <si>
    <t>Retain as official deck</t>
  </si>
  <si>
    <t>Final deck</t>
  </si>
  <si>
    <t>Board_Outcomes_Dashboard_FINAL_v2.pptx</t>
  </si>
  <si>
    <t>Confirm which final is authoritative</t>
  </si>
  <si>
    <t>Competing “final” versions</t>
  </si>
  <si>
    <t>EQAO_OSSLT_GradRates_SummaryTable.xlsx</t>
  </si>
  <si>
    <t>BoardOutcomes_SummaryTable_DRAFT.xlsx</t>
  </si>
  <si>
    <t>Summary Table</t>
  </si>
  <si>
    <t>DUP-005</t>
  </si>
  <si>
    <t>Confirm superseded by final</t>
  </si>
  <si>
    <t>Draft summary</t>
  </si>
  <si>
    <t>EQAO_OSSLT_GradRates_SummaryTable_FINAL.xlsx</t>
  </si>
  <si>
    <t>BoardOutcomes_SummaryTable_FINAL.xlsx</t>
  </si>
  <si>
    <t>File in final reporting folder</t>
  </si>
  <si>
    <t>Final summary</t>
  </si>
  <si>
    <t>Charts_ForBriefing_TEMP.xlsx</t>
  </si>
  <si>
    <t>Chart Drafts</t>
  </si>
  <si>
    <t>Dispose after briefing</t>
  </si>
  <si>
    <t>Temporary chart staging</t>
  </si>
  <si>
    <t>Outcomes_BriefingNote_DRAFT.docx</t>
  </si>
  <si>
    <t>Outcomes_BriefingNote_2026_DRAFT.docx</t>
  </si>
  <si>
    <t>Briefing Note</t>
  </si>
  <si>
    <t>Confirm if briefing note finalized</t>
  </si>
  <si>
    <t>Draft briefing note</t>
  </si>
  <si>
    <t>Disposition_List_2025_DRAFT.xlsx</t>
  </si>
  <si>
    <t>DispositionList_2025_DRAFT.xlsx</t>
  </si>
  <si>
    <t>\IPC\SharedDrive\RecordsManagement\Disposition_and_Retention\</t>
  </si>
  <si>
    <t>Disposition List</t>
  </si>
  <si>
    <t>Confirm if replaced by final</t>
  </si>
  <si>
    <t>Draft list for 2025 cleanup</t>
  </si>
  <si>
    <t>Disposition_List_2025_FINAL.xlsx</t>
  </si>
  <si>
    <t>DispositionList_2025_FINAL.xlsx</t>
  </si>
  <si>
    <t>DUP-006</t>
  </si>
  <si>
    <t>Use as authoritative disposition list</t>
  </si>
  <si>
    <t>Final disposition list</t>
  </si>
  <si>
    <t>Disposition_List_2025_FINAL(1).xlsx</t>
  </si>
  <si>
    <t>Duplicate of final</t>
  </si>
  <si>
    <t>Retention_Guidelines_Internal.pdf</t>
  </si>
  <si>
    <t>RetentionGuidelines_Internal.pdf</t>
  </si>
  <si>
    <t>Corporate Services Manager</t>
  </si>
  <si>
    <t>Retention Policy</t>
  </si>
  <si>
    <t>Store in policy folder</t>
  </si>
  <si>
    <t>Reference document</t>
  </si>
  <si>
    <t>File_Naming_Convention_v1.docx</t>
  </si>
  <si>
    <t>FileNamingConvention_FINAL.docx</t>
  </si>
  <si>
    <t>Naming Convention</t>
  </si>
  <si>
    <t>DUP-008</t>
  </si>
  <si>
    <t>Outdated naming draft</t>
  </si>
  <si>
    <t>File_Naming_Convention_FINAL.docx</t>
  </si>
  <si>
    <t>Use as standard for migration</t>
  </si>
  <si>
    <t>Authoritative convention</t>
  </si>
  <si>
    <t>SharePoint_Inventory_Template.xlsx</t>
  </si>
  <si>
    <t>SharePointInventory_Template_DRAFT.xlsx</t>
  </si>
  <si>
    <t>SharePoint Inventory</t>
  </si>
  <si>
    <t>DUP-007</t>
  </si>
  <si>
    <t>Confirm latest template version</t>
  </si>
  <si>
    <t>Older template</t>
  </si>
  <si>
    <t>SharePoint_Inventory_Template_UPDATED.xlsx</t>
  </si>
  <si>
    <t>SharePointInventory_Template_FINAL.xlsx</t>
  </si>
  <si>
    <t>Use for SharePoint Online inventory</t>
  </si>
  <si>
    <t>Latest template</t>
  </si>
  <si>
    <t>Offsite_Records_Request_Form.pdf</t>
  </si>
  <si>
    <t>OffsiteRecords_RequestForm.pdf</t>
  </si>
  <si>
    <t>Offsite Retrieval</t>
  </si>
  <si>
    <t>Use for offsite retrieval requests</t>
  </si>
  <si>
    <t>Standard form</t>
  </si>
  <si>
    <t>Offsite_Records_Inventory_SCAN.pdf</t>
  </si>
  <si>
    <t>OffsiteRecords_Inventory_2025_SCAN.pdf</t>
  </si>
  <si>
    <t>Physical Records Inventory</t>
  </si>
  <si>
    <t>Identify owner + confirm retention</t>
  </si>
  <si>
    <t>Orphan scanned inventory</t>
  </si>
  <si>
    <t>IntakeTracker_TEMP.xlsx</t>
  </si>
  <si>
    <t>\IPC\SharedDrive\CorporateServices\Operations_and_Intake\</t>
  </si>
  <si>
    <t>Intake Admin</t>
  </si>
  <si>
    <t>Dispose after confirming not required</t>
  </si>
  <si>
    <t>Temporary tracker</t>
  </si>
  <si>
    <t>IntakeTracker_FINAL.xlsx</t>
  </si>
  <si>
    <t>DUP-010</t>
  </si>
  <si>
    <t>Confirm if superseded by updated version</t>
  </si>
  <si>
    <t>Main tracker</t>
  </si>
  <si>
    <t>Retain latest tracker; dispose older</t>
  </si>
  <si>
    <t>Updated tracker</t>
  </si>
  <si>
    <t>Meeting_Notes_IM_Cleanup_2026-01-20.docx</t>
  </si>
  <si>
    <t>MeetingNotes_IMCleanup_2026-01-20.docx</t>
  </si>
  <si>
    <t>Meeting Notes</t>
  </si>
  <si>
    <t>File in meeting notes folder</t>
  </si>
  <si>
    <t>IM cleanup meeting</t>
  </si>
  <si>
    <t>Meeting_Notes_IM_Cleanup_2026-02-03.docx</t>
  </si>
  <si>
    <t>MeetingNotes_IMCleanup_2026-02-03.docx</t>
  </si>
  <si>
    <t>Follow-up meeting</t>
  </si>
  <si>
    <t>ApprovalEmailExport_2026-02.msg</t>
  </si>
  <si>
    <t>Approval Record</t>
  </si>
  <si>
    <t>DUP-009</t>
  </si>
  <si>
    <t>Confirm required as record; retain 1 copy</t>
  </si>
  <si>
    <t>Exported approvals</t>
  </si>
  <si>
    <t>Dispose duplicate email export</t>
  </si>
  <si>
    <t>Duplicate export</t>
  </si>
  <si>
    <t>Random_Document_FINAL_FINAL.docx</t>
  </si>
  <si>
    <t>DocumentReview_REQUIRED.docx</t>
  </si>
  <si>
    <t>Unknown / Unclassified</t>
  </si>
  <si>
    <t>Identify owner; classify record type</t>
  </si>
  <si>
    <t>Old_Copy_DispositionList.xlsx</t>
  </si>
  <si>
    <t>DispositionList_Archive_OLD.xlsx</t>
  </si>
  <si>
    <t>Disposition / Archive</t>
  </si>
  <si>
    <t>Confirm retention requirement</t>
  </si>
  <si>
    <t>Orphan archive copy</t>
  </si>
  <si>
    <t>TEMP_upload_test_file.docx</t>
  </si>
  <si>
    <t>Transitory</t>
  </si>
  <si>
    <t>Confirm safe to delete</t>
  </si>
  <si>
    <t>Test upload file</t>
  </si>
  <si>
    <t>Poor naming and no owner</t>
  </si>
  <si>
    <t>Duplicate_Group</t>
  </si>
  <si>
    <t>Keep_or_Dispose</t>
  </si>
  <si>
    <t>Rationale</t>
  </si>
  <si>
    <t>Approval_Required</t>
  </si>
  <si>
    <t>Approval_Status</t>
  </si>
  <si>
    <t>Approved_By</t>
  </si>
  <si>
    <t>Pending</t>
  </si>
  <si>
    <t>Orphan File</t>
  </si>
  <si>
    <t>Primary working version used for cleaning and migration prep.</t>
  </si>
  <si>
    <t>Older draft working copy; superseded by most recent working file</t>
  </si>
  <si>
    <t>Most recently modified final deck; treated as authoritative pending confirmation.</t>
  </si>
  <si>
    <t>Most recently modifed table; confirm version authority with owner</t>
  </si>
  <si>
    <t>Final summary table used for reporting.</t>
  </si>
  <si>
    <t xml:space="preserve">Draft superseeded by final; no retention value </t>
  </si>
  <si>
    <t>Current standard naming convention for migration</t>
  </si>
  <si>
    <t xml:space="preserve">Outdated naming convention; no retention value </t>
  </si>
  <si>
    <t>Single retained approval copy for audit trail</t>
  </si>
  <si>
    <t>Duplicate export; non-unique</t>
  </si>
  <si>
    <t>Disposition_ID</t>
  </si>
  <si>
    <t>Issue_Type</t>
  </si>
  <si>
    <t>DISP-0001</t>
  </si>
  <si>
    <t>DISP-0031</t>
  </si>
  <si>
    <t>DISP-0002</t>
  </si>
  <si>
    <t>DISP-0003</t>
  </si>
  <si>
    <t>DISP-0004</t>
  </si>
  <si>
    <t>DISP-0005</t>
  </si>
  <si>
    <t>DISP-0006</t>
  </si>
  <si>
    <t>DISP-0007</t>
  </si>
  <si>
    <t>DISP-0009</t>
  </si>
  <si>
    <t>DISP-0010</t>
  </si>
  <si>
    <t>DISP-0012</t>
  </si>
  <si>
    <t>DISP-0014</t>
  </si>
  <si>
    <t>DISP-0015</t>
  </si>
  <si>
    <t>DISP-0016</t>
  </si>
  <si>
    <t>DISP-0018</t>
  </si>
  <si>
    <t>DISP-0019</t>
  </si>
  <si>
    <t>DISP-0021</t>
  </si>
  <si>
    <t>DISP-0024</t>
  </si>
  <si>
    <t>DISP-0025</t>
  </si>
  <si>
    <t>DISP-0027</t>
  </si>
  <si>
    <t>DISP-0028</t>
  </si>
  <si>
    <t>DISP-0029</t>
  </si>
  <si>
    <t>DISP-0030</t>
  </si>
  <si>
    <t>Issue Type</t>
  </si>
  <si>
    <t>Duplicate</t>
  </si>
  <si>
    <t>Orphan(Unknow Owner)</t>
  </si>
  <si>
    <t>Transitory Material</t>
  </si>
  <si>
    <t xml:space="preserve">Outdated Draft </t>
  </si>
  <si>
    <t xml:space="preserve">Version Control Issue </t>
  </si>
  <si>
    <t>Naming Standard Issue</t>
  </si>
  <si>
    <t>Latest SharePoint export; retain for migration.</t>
  </si>
  <si>
    <t>Older export superseded by v3; dispose after approval.</t>
  </si>
  <si>
    <t>Draft superseded by FINAL summary table.</t>
  </si>
  <si>
    <t>Documents cleaning decisions; retain for audit trail</t>
  </si>
  <si>
    <t>Duplicate of authoritative FINAL dataset.</t>
  </si>
  <si>
    <t>Older export superseded by v3</t>
  </si>
  <si>
    <t>Final approved dataset; retain as authoritative version.</t>
  </si>
  <si>
    <t>Older SharePoint inventory template; superseded by updated version.</t>
  </si>
  <si>
    <t>Latest SharePoint inventory template for future state.</t>
  </si>
  <si>
    <t>Superseded by updated tracker; retain only latest.</t>
  </si>
  <si>
    <t>Latest intake tracker version used operationally.</t>
  </si>
  <si>
    <t>Dispose after approval (retain v3)</t>
  </si>
  <si>
    <t>Confirm notes needed; if not, dispose</t>
  </si>
  <si>
    <t>Tag_Category</t>
  </si>
  <si>
    <t>Tag_Value</t>
  </si>
  <si>
    <t>Definition</t>
  </si>
  <si>
    <t>When_To_Apply</t>
  </si>
  <si>
    <t>Example_File</t>
  </si>
  <si>
    <t>Retention, disposition, records governance</t>
  </si>
  <si>
    <t>Intake, operations, admin trackers</t>
  </si>
  <si>
    <t>Editable dataset used for cleaning/analysis</t>
  </si>
  <si>
    <t>Final authoritative dataset</t>
  </si>
  <si>
    <t>Export intended for SharePoint migration</t>
  </si>
  <si>
    <t>Official list tracking retention/disposal</t>
  </si>
  <si>
    <t>Standard naming document</t>
  </si>
  <si>
    <t>Inventory</t>
  </si>
  <si>
    <t>File inventory / tracker</t>
  </si>
  <si>
    <t>Written briefing document</t>
  </si>
  <si>
    <t>PowerPoint reporting deck</t>
  </si>
  <si>
    <t>Record of approvals</t>
  </si>
  <si>
    <t>Temporary / test / drafts</t>
  </si>
  <si>
    <t>Work in progress</t>
  </si>
  <si>
    <t>Approved / authoritative</t>
  </si>
  <si>
    <t>Replaced by newer version</t>
  </si>
  <si>
    <t>Duplicate_Status</t>
  </si>
  <si>
    <t>Duplicate_Grouped</t>
  </si>
  <si>
    <t>File belongs to a duplicate group</t>
  </si>
  <si>
    <t>Unique</t>
  </si>
  <si>
    <t>No duplicate found</t>
  </si>
  <si>
    <t>Ownership</t>
  </si>
  <si>
    <t>Owner_Assigned</t>
  </si>
  <si>
    <t>Owner is known</t>
  </si>
  <si>
    <t>Owner_Unknown</t>
  </si>
  <si>
    <t>No owner identified</t>
  </si>
  <si>
    <t>Requires follow-up</t>
  </si>
  <si>
    <t>Internal business information</t>
  </si>
  <si>
    <t>Sensitive internal records</t>
  </si>
  <si>
    <t>Retention_Action</t>
  </si>
  <si>
    <t>Retain for migration / future state</t>
  </si>
  <si>
    <t>Safe to delete after approval</t>
  </si>
  <si>
    <t>Needs decision</t>
  </si>
  <si>
    <t>Migration_Stage</t>
  </si>
  <si>
    <t>Staging</t>
  </si>
  <si>
    <t>In migration staging folder</t>
  </si>
  <si>
    <t>Future_State</t>
  </si>
  <si>
    <t>Prepared for SharePoint inventory</t>
  </si>
  <si>
    <t>migration staging, IM docs</t>
  </si>
  <si>
    <t>retention, disposition docs</t>
  </si>
  <si>
    <t>intake, admin files</t>
  </si>
  <si>
    <t>file is not final</t>
  </si>
  <si>
    <t>file is final and used for reporting</t>
  </si>
  <si>
    <t>file is export/staging</t>
  </si>
  <si>
    <t>used for retention decisions</t>
  </si>
  <si>
    <t>naming rules for staff</t>
  </si>
  <si>
    <t>tracking records, ownership</t>
  </si>
  <si>
    <t>briefing / exec summary</t>
  </si>
  <si>
    <t>presentations</t>
  </si>
  <si>
    <t>for audit trail</t>
  </si>
  <si>
    <t>if no retention value</t>
  </si>
  <si>
    <t>not approved, editable</t>
  </si>
  <si>
    <t>used as official version</t>
  </si>
  <si>
    <t>older version exists</t>
  </si>
  <si>
    <t>when DUP-### exists</t>
  </si>
  <si>
    <t>not part of a DUP group</t>
  </si>
  <si>
    <t>owner field not blank</t>
  </si>
  <si>
    <t>owner blank</t>
  </si>
  <si>
    <t>default for most files</t>
  </si>
  <si>
    <t>for scanned offsite inventories</t>
  </si>
  <si>
    <t>final or required record</t>
  </si>
  <si>
    <t>duplicate/superseded/transitory</t>
  </si>
  <si>
    <t>unclear status</t>
  </si>
  <si>
    <t>before future state upload</t>
  </si>
  <si>
    <t>after cleanup</t>
  </si>
  <si>
    <t>Information Technology / Information Management work</t>
  </si>
  <si>
    <t>Rule_ID</t>
  </si>
  <si>
    <t>Rule_Type</t>
  </si>
  <si>
    <t>Rule_Description</t>
  </si>
  <si>
    <t>Example_Before</t>
  </si>
  <si>
    <t>Example_After</t>
  </si>
  <si>
    <t>BusinessArea_RecordType_Subject_YYYY-MM(-DD)_Version</t>
  </si>
  <si>
    <t>RULE-01</t>
  </si>
  <si>
    <t>Required Fields</t>
  </si>
  <si>
    <t>Every file name must include Business Area + Subject + Date + Version</t>
  </si>
  <si>
    <t>CorporateServices_BriefingNote_Subject_2025-06_DRAFT.docx</t>
  </si>
  <si>
    <t>Prevents orphaned/unclear files</t>
  </si>
  <si>
    <t>RULE-02</t>
  </si>
  <si>
    <t>Dates</t>
  </si>
  <si>
    <t>Use ISO date format only (YYYY-MM or YYYY-MM-DD)</t>
  </si>
  <si>
    <t>Weekly_Status_Summary_Feb1.docx</t>
  </si>
  <si>
    <t>Reporting_WeeklyStatus_2026-02-01_FINAL.docx</t>
  </si>
  <si>
    <t>Sorts correctly</t>
  </si>
  <si>
    <t>RULE-03</t>
  </si>
  <si>
    <t>Versioning</t>
  </si>
  <si>
    <t>Allowed versions: DRAFT, FINAL, SUPERSEDED, TEMP</t>
  </si>
  <si>
    <t>FINAL_v2.pptx</t>
  </si>
  <si>
    <t>Reporting_DashboardDeck_2026-02_FINAL_v2.pptx</t>
  </si>
  <si>
    <t>Avoid “final final”</t>
  </si>
  <si>
    <t>RULE-04</t>
  </si>
  <si>
    <t>No Special Characters</t>
  </si>
  <si>
    <t>Avoid brackets, commas, multiple spaces</t>
  </si>
  <si>
    <t>Disposition List (FINAL).xlsx</t>
  </si>
  <si>
    <t>RecordsMgmt_DispositionList_2026_FINAL.xlsx</t>
  </si>
  <si>
    <t>SharePoint-safe</t>
  </si>
  <si>
    <t>RULE-05</t>
  </si>
  <si>
    <t>No “Copy of”</t>
  </si>
  <si>
    <t>Replace “Copy of …” with real version label</t>
  </si>
  <si>
    <t>Copy of OntarioOpenData…xlsx</t>
  </si>
  <si>
    <t>IM_WorkingDataset_EducationOutcomes_2026-02_DRAFT.xlsx</t>
  </si>
  <si>
    <t>Eliminates duplicates</t>
  </si>
  <si>
    <t>RULE-06</t>
  </si>
  <si>
    <t>Duplicate Finals</t>
  </si>
  <si>
    <t>If multiple finals exist, add v1/v2 and confirm authoritative</t>
  </si>
  <si>
    <t>Dashboard_FINAL.pptx + FINAL_v2.pptx</t>
  </si>
  <si>
    <t>Reporting_DashboardDeck_2026_FINAL_v1.pptx / v2.pptx</t>
  </si>
  <si>
    <t>Forces resolution</t>
  </si>
  <si>
    <t>RULE-07</t>
  </si>
  <si>
    <t>Superseded Files</t>
  </si>
  <si>
    <t>Mark older files as SUPERSEDED and move to archive</t>
  </si>
  <si>
    <t>…FINAL(1).xlsx</t>
  </si>
  <si>
    <t>IM_FinalDataset_EducationOutcomes_2026-02_SUPERSEDED.xlsx</t>
  </si>
  <si>
    <t>Clear retention logic</t>
  </si>
  <si>
    <t>RULE-08</t>
  </si>
  <si>
    <t>Transitory Files</t>
  </si>
  <si>
    <t>TEMP files must include TEMP and month</t>
  </si>
  <si>
    <t>Notes_TEMP.xlsx</t>
  </si>
  <si>
    <t>IM_WorkingNotes_EducationOutcomes_2026-02_TEMP.xlsx</t>
  </si>
  <si>
    <t>Easy disposal</t>
  </si>
  <si>
    <t>RULE-09</t>
  </si>
  <si>
    <t>SharePoint Exports</t>
  </si>
  <si>
    <t>Migration exports must include “SharePointExport”</t>
  </si>
  <si>
    <t>Export_ForSharePoint.xlsx</t>
  </si>
  <si>
    <t>IM_MigrationExport_EducationOutcomes_2026-02_FINAL.xlsx</t>
  </si>
  <si>
    <t>Makes purpose obvious</t>
  </si>
  <si>
    <t>RULE-10</t>
  </si>
  <si>
    <t>Abbreviations</t>
  </si>
  <si>
    <t>Use consistent abbreviations only</t>
  </si>
  <si>
    <t>EQAO_OSSLT_GradRates…</t>
  </si>
  <si>
    <t>Reporting_SummaryTable_EducationOutcomes_2026-02_FINAL.xlsx</t>
  </si>
  <si>
    <t>Standardization</t>
  </si>
  <si>
    <t>Business_Area_Value</t>
  </si>
  <si>
    <t>IM</t>
  </si>
  <si>
    <t>Record Management</t>
  </si>
  <si>
    <t>Corporate_Services</t>
  </si>
  <si>
    <t>Version_Value</t>
  </si>
  <si>
    <t>DRAFT</t>
  </si>
  <si>
    <t>FINAL</t>
  </si>
  <si>
    <t>SUPERSEEDED</t>
  </si>
  <si>
    <t>TEMP</t>
  </si>
  <si>
    <t>Week_Ending</t>
  </si>
  <si>
    <t>Files_Reviewed</t>
  </si>
  <si>
    <t>Files_Kept</t>
  </si>
  <si>
    <t xml:space="preserve">Files_to_Dispose </t>
  </si>
  <si>
    <t>Duplicate_Groups_Found</t>
  </si>
  <si>
    <t>Duplicate_Groups_Resolved</t>
  </si>
  <si>
    <t>Pending_Owner</t>
  </si>
  <si>
    <t>Pending_Approval</t>
  </si>
  <si>
    <t>Key_Risk_Issues</t>
  </si>
  <si>
    <t>Next_Week_Agenda</t>
  </si>
  <si>
    <t>Orphan_Flagged_Files</t>
  </si>
  <si>
    <t>Several ‘final’ versions found; owner confirmation required.</t>
  </si>
  <si>
    <t xml:space="preserve">Complete inventory and continue resolving duplicates </t>
  </si>
  <si>
    <t>Orphan files require permisson of business group before disposal.</t>
  </si>
  <si>
    <t xml:space="preserve">Compile disposal list and standards for tagging </t>
  </si>
  <si>
    <t xml:space="preserve">Finalize SharePoint Inventory and cleanup </t>
  </si>
  <si>
    <t>Restricted, sensitive files must be handled with caution; retention review.</t>
  </si>
  <si>
    <t>Highlights</t>
  </si>
  <si>
    <t xml:space="preserve">Flagged orphan file requiring owner permissions prior to disposal </t>
  </si>
  <si>
    <t xml:space="preserve">Standardized tagging procedure, naming conventions for SharePoint migration prepardness. </t>
  </si>
  <si>
    <t>Migration_Ready</t>
  </si>
  <si>
    <t>Tags</t>
  </si>
  <si>
    <t>IT / IM, Working Dataset, Internal, NotReady</t>
  </si>
  <si>
    <t>IT / IM, Working Dataset, Internal, Dispose, NotReady</t>
  </si>
  <si>
    <t>IT / IM, Final Dataset, Internal, MigrationReady</t>
  </si>
  <si>
    <t>IT / IM, Final Dataset, Internal, Superseded, Dispose, NotReady</t>
  </si>
  <si>
    <t>IT / IM, Working Notes, Internal, Dispose, Orphan/PendingOwner, NotReady</t>
  </si>
  <si>
    <t>IT / IM, Data Quality Support, Internal, MigrationReady</t>
  </si>
  <si>
    <t>IT / IM, Working Dataset, Internal, Dispose, Orphan/PendingOwner, NotReady</t>
  </si>
  <si>
    <t>IT / IM, Migration Export, Internal, Dispose, NotReady</t>
  </si>
  <si>
    <t>IT / IM, Migration Export, Internal, MigrationReady</t>
  </si>
  <si>
    <t>Reporting, Weekly Status Summary, Internal, MigrationReady</t>
  </si>
  <si>
    <t>Reporting, Dashboard Deck, Internal, NotReady</t>
  </si>
  <si>
    <t>Reporting, Dashboard Deck, Internal, MigrationReady</t>
  </si>
  <si>
    <t>Reporting, Summary Table, Internal, Dispose, NotReady</t>
  </si>
  <si>
    <t>Reporting, Summary Table, Internal, MigrationReady</t>
  </si>
  <si>
    <t>Reporting, Chart Drafts, Internal, Dispose, NotReady</t>
  </si>
  <si>
    <t>Reporting, Briefing Note, Internal, NotReady</t>
  </si>
  <si>
    <t>Records Management, Disposition List, Internal, NotReady</t>
  </si>
  <si>
    <t>Records Management, Disposition List, Internal, MigrationReady</t>
  </si>
  <si>
    <t>Records Management, Disposition List, Internal, Superseded, Dispose, NotReady</t>
  </si>
  <si>
    <t>Records Management, Retention Policy, Internal, MigrationReady</t>
  </si>
  <si>
    <t>Records Management, Naming Convention, Internal, Dispose, NotReady</t>
  </si>
  <si>
    <t>Records Management, Naming Convention, Internal, MigrationReady</t>
  </si>
  <si>
    <t>Records Management, SharePoint Inventory, Internal, NotReady</t>
  </si>
  <si>
    <t>Records Management, SharePoint Inventory, Internal, MigrationReady</t>
  </si>
  <si>
    <t>Records Management, Offsite Retrieval, Internal, MigrationReady</t>
  </si>
  <si>
    <t>Records Management, Physical Records Inventory, Restricted, Orphan/PendingOwner, NotReady</t>
  </si>
  <si>
    <t>Corporate Services, Intake Admin, Internal, Dispose, NotReady</t>
  </si>
  <si>
    <t>Corporate Services, Intake Admin, Internal, NotReady</t>
  </si>
  <si>
    <t>Corporate Services, Intake Admin, Internal, MigrationReady</t>
  </si>
  <si>
    <t>Corporate Services, Meeting Notes, Internal, MigrationReady</t>
  </si>
  <si>
    <t>Corporate Services, Approval Record, Internal, MigrationReady</t>
  </si>
  <si>
    <t>Corporate Services, Approval Record, Internal, Superseded, Dispose, NotReady</t>
  </si>
  <si>
    <t>Corporate Services, Unknown / Unclassified, Internal, Orphan/PendingOwner, NotReady</t>
  </si>
  <si>
    <t>Corporate Services, Disposition / Archive, Internal, Superseded, Orphan/PendingOwner, NotReady</t>
  </si>
  <si>
    <t>Corporate Services, Transitory, Internal, Dispose, Orphan/PendingOwner, NotReady</t>
  </si>
  <si>
    <r>
      <t xml:space="preserve">       </t>
    </r>
    <r>
      <rPr>
        <b/>
        <sz val="22"/>
        <color theme="1"/>
        <rFont val="Calibri (Body)"/>
      </rPr>
      <t>Tools:</t>
    </r>
    <r>
      <rPr>
        <sz val="22"/>
        <color theme="1"/>
        <rFont val="Calibri (Body)"/>
      </rPr>
      <t xml:space="preserve"> Excel, PDF exports</t>
    </r>
  </si>
  <si>
    <r>
      <t xml:space="preserve">      </t>
    </r>
    <r>
      <rPr>
        <b/>
        <sz val="22"/>
        <color theme="1"/>
        <rFont val="Calibri (Body)"/>
      </rPr>
      <t>Source dataset:</t>
    </r>
    <r>
      <rPr>
        <sz val="22"/>
        <color theme="1"/>
        <rFont val="Calibri (Body)"/>
      </rPr>
      <t xml:space="preserve"> Synthetic Data with refrence to Ontario Open Data Portal</t>
    </r>
  </si>
  <si>
    <r>
      <t xml:space="preserve">              </t>
    </r>
    <r>
      <rPr>
        <b/>
        <sz val="20"/>
        <color theme="1"/>
        <rFont val="Calibri (Body)"/>
      </rPr>
      <t>NOTE</t>
    </r>
    <r>
      <rPr>
        <sz val="20"/>
        <color theme="1"/>
        <rFont val="Calibri (Body)"/>
      </rPr>
      <t xml:space="preserve">: Please see Project_Summary tab for key deliverables </t>
    </r>
  </si>
  <si>
    <t>IPC-F-0041</t>
  </si>
  <si>
    <t>IPC-F-0042</t>
  </si>
  <si>
    <t>IPC-F-0043</t>
  </si>
  <si>
    <t>IPC-F-0044</t>
  </si>
  <si>
    <t>IPC-F-0045</t>
  </si>
  <si>
    <t>IPC-F-0046</t>
  </si>
  <si>
    <t>IPC-F-0047</t>
  </si>
  <si>
    <t>IPC-F-0048</t>
  </si>
  <si>
    <t>IPC-F-0049</t>
  </si>
  <si>
    <t>IPC-F-0050</t>
  </si>
  <si>
    <t>IPC-F-0051</t>
  </si>
  <si>
    <t>IPC-F-0052</t>
  </si>
  <si>
    <t>IPC-F-0053</t>
  </si>
  <si>
    <t>IPC-F-0054</t>
  </si>
  <si>
    <t>IPC-F-0055</t>
  </si>
  <si>
    <t>IPC-F-0056</t>
  </si>
  <si>
    <t>IPC-F-0057</t>
  </si>
  <si>
    <t>IPC-F-0058</t>
  </si>
  <si>
    <t>IPC-F-0059</t>
  </si>
  <si>
    <t>IPC-F-0060</t>
  </si>
  <si>
    <t>IPC-F-0061</t>
  </si>
  <si>
    <t>IPC-F-0062</t>
  </si>
  <si>
    <t>IPC-F-0063</t>
  </si>
  <si>
    <t>IPC-F-0064</t>
  </si>
  <si>
    <t>IPC-F-0065</t>
  </si>
  <si>
    <t>IPC-F-0066</t>
  </si>
  <si>
    <t>IPC-F-0067</t>
  </si>
  <si>
    <t>IPC-F-0068</t>
  </si>
  <si>
    <t>IPC-F-0069</t>
  </si>
  <si>
    <t>IPC-F-0070</t>
  </si>
  <si>
    <t>IPC-F-0071</t>
  </si>
  <si>
    <t>IPC-F-0072</t>
  </si>
  <si>
    <t>IPC-F-0073</t>
  </si>
  <si>
    <t>IPC-F-0074</t>
  </si>
  <si>
    <t>IPC-F-0075</t>
  </si>
  <si>
    <t>IPC-F-0076</t>
  </si>
  <si>
    <t>IPC-F-0077</t>
  </si>
  <si>
    <t>IPC-F-0078</t>
  </si>
  <si>
    <t>IPC-F-0079</t>
  </si>
  <si>
    <t>IPC-F-0080</t>
  </si>
  <si>
    <t>IPC-F-0081</t>
  </si>
  <si>
    <t>IPC-F-0082</t>
  </si>
  <si>
    <t>IPC-F-0083</t>
  </si>
  <si>
    <t>IPC-F-0084</t>
  </si>
  <si>
    <t>IPC-F-0085</t>
  </si>
  <si>
    <t>IPC-F-0086</t>
  </si>
  <si>
    <t>IPC-F-0087</t>
  </si>
  <si>
    <t>IPC-F-0088</t>
  </si>
  <si>
    <t>IPC-F-0089</t>
  </si>
  <si>
    <t>IPC-F-0090</t>
  </si>
  <si>
    <t>IPC-F-0091</t>
  </si>
  <si>
    <t>IPC-F-0092</t>
  </si>
  <si>
    <t>IPC-F-0093</t>
  </si>
  <si>
    <t>IPC-F-0094</t>
  </si>
  <si>
    <t>IPC-F-0095</t>
  </si>
  <si>
    <t>IPC-F-0096</t>
  </si>
  <si>
    <t>IPC-F-0097</t>
  </si>
  <si>
    <t>IPC-F-0098</t>
  </si>
  <si>
    <t>IPC-F-0099</t>
  </si>
  <si>
    <t>IPC-F-0100</t>
  </si>
  <si>
    <t>IPC-F-0101</t>
  </si>
  <si>
    <t>IPC-F-0102</t>
  </si>
  <si>
    <t>IPC-F-0103</t>
  </si>
  <si>
    <t>IPC-F-0104</t>
  </si>
  <si>
    <t>IPC-F-0105</t>
  </si>
  <si>
    <t>IPC-F-0106</t>
  </si>
  <si>
    <t>IPC-F-0107</t>
  </si>
  <si>
    <t>IPC-F-0108</t>
  </si>
  <si>
    <t>IPC-F-0109</t>
  </si>
  <si>
    <t>IPC-F-0110</t>
  </si>
  <si>
    <t>IPC-F-0111</t>
  </si>
  <si>
    <t>IPC-F-0112</t>
  </si>
  <si>
    <t>IPC-F-0113</t>
  </si>
  <si>
    <t>IPC-F-0114</t>
  </si>
  <si>
    <t>IPC-F-0115</t>
  </si>
  <si>
    <t>IPC-F-0116</t>
  </si>
  <si>
    <t>IPC-F-0117</t>
  </si>
  <si>
    <t>IPC-F-0118</t>
  </si>
  <si>
    <t>IPC-F-0119</t>
  </si>
  <si>
    <t>IPC-F-0120</t>
  </si>
  <si>
    <t>IPC-F-0121</t>
  </si>
  <si>
    <t>IPC-F-0122</t>
  </si>
  <si>
    <t>IPC-F-0123</t>
  </si>
  <si>
    <t>IPC-F-0124</t>
  </si>
  <si>
    <t>IPC-F-0125</t>
  </si>
  <si>
    <t>IPC-F-0126</t>
  </si>
  <si>
    <t>IPC-F-0127</t>
  </si>
  <si>
    <t>IPC-F-0128</t>
  </si>
  <si>
    <t>IPC-F-0129</t>
  </si>
  <si>
    <t>IPC-F-0130</t>
  </si>
  <si>
    <t>IPC-F-0131</t>
  </si>
  <si>
    <t>IPC-F-0132</t>
  </si>
  <si>
    <t>IPC-F-0133</t>
  </si>
  <si>
    <t>IPC-F-0134</t>
  </si>
  <si>
    <t>IPC-F-0135</t>
  </si>
  <si>
    <t>IPC-F-0136</t>
  </si>
  <si>
    <t>IPC-F-0137</t>
  </si>
  <si>
    <t>IPC-F-0138</t>
  </si>
  <si>
    <t>IPC-F-0139</t>
  </si>
  <si>
    <t>IPC-F-0140</t>
  </si>
  <si>
    <t>IPC-F-0141</t>
  </si>
  <si>
    <t>IPC-F-0142</t>
  </si>
  <si>
    <t>IPC-F-0143</t>
  </si>
  <si>
    <t>IPC-F-0144</t>
  </si>
  <si>
    <t>IPC-F-0145</t>
  </si>
  <si>
    <t>IPC-F-0146</t>
  </si>
  <si>
    <t>IPC-F-0147</t>
  </si>
  <si>
    <t>IPC-F-0148</t>
  </si>
  <si>
    <t>IPC-F-0149</t>
  </si>
  <si>
    <t>IPC-F-0150</t>
  </si>
  <si>
    <t>Finance</t>
  </si>
  <si>
    <t>\IPC\SharedDrive\Legal\</t>
  </si>
  <si>
    <t>\IPC\SharedDrive\Finance\</t>
  </si>
  <si>
    <t>\IPC\SharedDrive\CorporateServices\Education_Initiatives</t>
  </si>
  <si>
    <t>Corporate Services Manger</t>
  </si>
  <si>
    <t>Director of Legal Services and General Counsel</t>
  </si>
  <si>
    <t xml:space="preserve">Records Analyst </t>
  </si>
  <si>
    <t>Legal Counsel</t>
  </si>
  <si>
    <t>Chief Financial Officer</t>
  </si>
  <si>
    <t>Ledger</t>
  </si>
  <si>
    <t>Intern+J21:J85al</t>
  </si>
  <si>
    <t xml:space="preserve">Tax Records </t>
  </si>
  <si>
    <t>Expense Report</t>
  </si>
  <si>
    <t>Case File</t>
  </si>
  <si>
    <t>Judgment</t>
  </si>
  <si>
    <t>Case Strategy</t>
  </si>
  <si>
    <t>Appeal</t>
  </si>
  <si>
    <t xml:space="preserve">IM Lead </t>
  </si>
  <si>
    <t>Reviewed 150 files across IT/IM, Reporting, Finance, Intake Records Management, Legal and Corporate Services.</t>
  </si>
  <si>
    <t>DISP-0032</t>
  </si>
  <si>
    <t>Identified  10 duplicate groups and suggested disposals.</t>
  </si>
  <si>
    <t>Excel_WorkingDataset_OntarioOpenData_2026-02-17_Draft</t>
  </si>
  <si>
    <t>Excel_WorkingDataset_OntarioOpenData_2026-02-16_Draft</t>
  </si>
  <si>
    <t>Excel_FinalDataset_OntarioOpenData_2026-02-17_Final</t>
  </si>
  <si>
    <t>Excel_FinalDataset_OntarioOpenData_2026-02-17_Superseded</t>
  </si>
  <si>
    <t>Excel_WorkingNotes_OntarioOpenData_2026-02-15_Draft</t>
  </si>
  <si>
    <t>Excel_DataQualitySupport_OntarioOpenData_2026-02-16_Final</t>
  </si>
  <si>
    <t>Excel_WorkingDataset_OntarioOpenData_2026-02-14_Draft</t>
  </si>
  <si>
    <t>Excel_MigrationExport_OntarioOpenData_2026-02-17_Draft</t>
  </si>
  <si>
    <t>Word_WeeklyStatusSummary_Internal_2026-02-01_Final</t>
  </si>
  <si>
    <t>Word_WeeklyStatusSummary_Internal_2026-02-08_Final</t>
  </si>
  <si>
    <t>Word_WeeklyStatusSummary_Internal_2026-02-15_Final</t>
  </si>
  <si>
    <t>PowerPoint_DashboardDeck_OntarioOpenData_2026-02-10_Draft</t>
  </si>
  <si>
    <t>PowerPoint_DashboardDeck_OntarioOpenData_2026-02-16_Final</t>
  </si>
  <si>
    <t>PowerPoint_DashboardDeck_OntarioOpenData_2026-02-17_Final</t>
  </si>
  <si>
    <t>Excel_SummaryTable_OntarioOpenData_2026-02-12_Draft</t>
  </si>
  <si>
    <t>Excel_SummaryTable_OntarioOpenData_2026-02-16_Final</t>
  </si>
  <si>
    <t>Excel_ChartDrafts_OntarioOpenData_2026-02-11_Draft</t>
  </si>
  <si>
    <t>Word_BriefingNote_OntarioOpenData_2026-02-13_Draft</t>
  </si>
  <si>
    <t>Excel_DispositionList_Intern+J21:J85al_2026-01-12_Draft</t>
  </si>
  <si>
    <t>Excel_DispositionList_Internal_2026-01-20_Final</t>
  </si>
  <si>
    <t>Excel_DispositionList_Internal_2026-01-20_Superseded</t>
  </si>
  <si>
    <t>PDF_RetentionPolicy_Internal_2025-10-05_Final</t>
  </si>
  <si>
    <t>Word_NamingConvention_Internal_2025-11-14_Draft</t>
  </si>
  <si>
    <t>Word_NamingConvention_Internal_2025-12-01_Final</t>
  </si>
  <si>
    <t>Excel_SharePointInventory_Internal_2026-01-28_Draft</t>
  </si>
  <si>
    <t>Excel_SharePointInventory_Internal_2026-02-05_Final</t>
  </si>
  <si>
    <t>PDF_OffsiteRetrieval_Internal_2025-09-18_Final</t>
  </si>
  <si>
    <t>PDF_PhysicalRecordsInventory_Internal_2025-08-30_Draft</t>
  </si>
  <si>
    <t>Excel_IntakeAdmin_Internal_2026-01-30_Draft</t>
  </si>
  <si>
    <t>Excel_IntakeAdmin_Internal_2026-02-10_Draft</t>
  </si>
  <si>
    <t>Excel_IntakeAdmin_Internal_2026-02-16_Final</t>
  </si>
  <si>
    <t>Word_MeetingNotes_Internal_2026-01-20_Final</t>
  </si>
  <si>
    <t>Word_MeetingNotes_Internal_2026-02-03_Final</t>
  </si>
  <si>
    <t>EmailExport_ApprovalRecord_Internal_2026-02-11_Draft</t>
  </si>
  <si>
    <t>EmailExport_ApprovalRecord_Internal_2026-02-11_Superseded</t>
  </si>
  <si>
    <t>Word_Unknown/Unclassified_Internal_2025-06-10_Draft</t>
  </si>
  <si>
    <t>Excel_Disposition/Archive_Internal_2024-12-02_Superseded</t>
  </si>
  <si>
    <t>Word_Transitory_Internal_2026-02-17_Draft</t>
  </si>
  <si>
    <t>Scan_Internal_Final.weekly status summary</t>
  </si>
  <si>
    <t>Scan_WeeklyStatusSummary_Internal_2025-04-10_Final</t>
  </si>
  <si>
    <t>PowerPoint_Internal_Draft.dashboard deck</t>
  </si>
  <si>
    <t>PowerPoint_DashboardDeck_Internal_2025-10-17_Draft</t>
  </si>
  <si>
    <t>PowerPoint_Internal_Final.dashboard deck</t>
  </si>
  <si>
    <t>PowerPoint_DashboardDeck_Internal_2025-10-14_Final</t>
  </si>
  <si>
    <t>PowerPoint_DashboardDeck_Internal_2025-11-18_Final</t>
  </si>
  <si>
    <t>Excel_Internal_Draft.summary table</t>
  </si>
  <si>
    <t>Excel_SummaryTable_Internal_2025-09-28_Draft</t>
  </si>
  <si>
    <t>Excel_Internal_Final.summary table</t>
  </si>
  <si>
    <t>Excel_SummaryTable_Internal_2025-02-12_Final</t>
  </si>
  <si>
    <t>Excel_Internal_Draft.chart drafts</t>
  </si>
  <si>
    <t>Excel_ChartDrafts_Internal_2025-09-11_Draft</t>
  </si>
  <si>
    <t>Word_Internal_Draft.briefing note</t>
  </si>
  <si>
    <t>Word_BriefingNote_Internal_2025-06-11_Draft</t>
  </si>
  <si>
    <t>Excel_Internal_Draft.transitory</t>
  </si>
  <si>
    <t>Excel_Transitory_Internal_2025-02-19_Draft</t>
  </si>
  <si>
    <t>Excel_Internal_Final.meeting notes</t>
  </si>
  <si>
    <t>Excel_MeetingNotes_Internal_2025-02-12_Final</t>
  </si>
  <si>
    <t>Excel_Internal_Superseded.quarterly_audit_v4</t>
  </si>
  <si>
    <t>Excel_Quarterly_Audit_v4_Internal_2025-09-07_Superseded</t>
  </si>
  <si>
    <t>Quarterly_Audit_v4</t>
  </si>
  <si>
    <t>PDF_Internal_Final.quarterly_audit_v1</t>
  </si>
  <si>
    <t>PDF_Quarterly_Audit_v1_Internal_2025-09-04_Final</t>
  </si>
  <si>
    <t>Quarterly_Audit_v1</t>
  </si>
  <si>
    <t>Excel_Internal_Draft.quarterly_audit_v2</t>
  </si>
  <si>
    <t>Excel_Quarterly_Audit_v2_Internal_2025-05-13_Draft</t>
  </si>
  <si>
    <t>Quarterly_Audit_v2</t>
  </si>
  <si>
    <t>Excel_Internal_Final.quarterly_audit_v3</t>
  </si>
  <si>
    <t>Excel_Quarterly_Audit_v3_Internal_2025-04-10_Final</t>
  </si>
  <si>
    <t>Quarterly_Audit_v3</t>
  </si>
  <si>
    <t>PDF_Internal_Draft.quarterly_audit_v3</t>
  </si>
  <si>
    <t>PDF_Quarterly_Audit_v3_Internal_2025-03-14_Draft</t>
  </si>
  <si>
    <t>PDF_Internal_Final.ledger</t>
  </si>
  <si>
    <t>PDF_Ledger_Internal_2025-03-18_Final</t>
  </si>
  <si>
    <t>Excel_Internal_Final.approval record</t>
  </si>
  <si>
    <t>Excel_ApprovalRecord_Internal_2025-03-04_Final</t>
  </si>
  <si>
    <t>Excel_Internal_Draft.ledger</t>
  </si>
  <si>
    <t>Excel_Ledger_Internal_2025-05-08_Draft</t>
  </si>
  <si>
    <t>Excel_Internal_Draft.weekly status summary</t>
  </si>
  <si>
    <t>Excel_WeeklyStatusSummary_Internal_2025-01-17_Draft</t>
  </si>
  <si>
    <t>PowerPoint_DashboardDeck_Internal_2025-06-01_Draft</t>
  </si>
  <si>
    <t>Excel_Internal_Final.dashboard deck</t>
  </si>
  <si>
    <t>Excel_DashboardDeck_Internal_2025-06-26_Final</t>
  </si>
  <si>
    <t>Excel_DashboardDeck_Internal_2025-09-28_Final</t>
  </si>
  <si>
    <t>Excel_SummaryTable_Internal_2025-10-11_Final</t>
  </si>
  <si>
    <t>Word_Internal_Draft.summary table</t>
  </si>
  <si>
    <t>Word_SummaryTable_Internal_2025-09-22_Draft</t>
  </si>
  <si>
    <t>Excel_Internal_Superseded.chart drafts</t>
  </si>
  <si>
    <t>Excel_ChartDrafts_Internal_2025-12-01_Superseded</t>
  </si>
  <si>
    <t>Excel_WeeklyStatusSummary_Internal_2025-02-15_Draft</t>
  </si>
  <si>
    <t>Excel_Internal_Superseded.dashboard deck</t>
  </si>
  <si>
    <t>Excel_DashboardDeck_Internal_2025-02-10_Superseded</t>
  </si>
  <si>
    <t>Excel_Internal_Draft.dashboard deck</t>
  </si>
  <si>
    <t>Excel_DashboardDeck_Internal_2025-01-05_Draft</t>
  </si>
  <si>
    <t>Excel_DashboardDeck_Internal_2025-08-03_Final</t>
  </si>
  <si>
    <t>Excel_SummaryTable_Internal_2025-01-26_Draft</t>
  </si>
  <si>
    <t>Word_SummaryTable_Internal_2025-05-12_Draft</t>
  </si>
  <si>
    <t>Word_Internal_Draft.chart drafts</t>
  </si>
  <si>
    <t>Word_ChartDrafts_Internal_2025-06-16_Draft</t>
  </si>
  <si>
    <t>PowerPoint_Internal_Final.briefing note</t>
  </si>
  <si>
    <t>PowerPoint_BriefingNote_Internal_2025-04-06_Final</t>
  </si>
  <si>
    <t>PowerPoint_Internal_Superseded.transitory</t>
  </si>
  <si>
    <t>PowerPoint_Transitory_Internal_2025-01-24_Superseded</t>
  </si>
  <si>
    <t>PowerPoint_Internal_Final.meeting notes</t>
  </si>
  <si>
    <t>PowerPoint_MeetingNotes_Internal_2025-05-21_Final</t>
  </si>
  <si>
    <t>Excel_Internal_Draft.meeting notes</t>
  </si>
  <si>
    <t>Excel_MeetingNotes_Internal_2025-08-12_Draft</t>
  </si>
  <si>
    <t>Excel_ApprovalRecord_Internal_2025-06-02_Final</t>
  </si>
  <si>
    <t>Excel_Internal_Draft.approval record</t>
  </si>
  <si>
    <t>Excel_ApprovalRecord_Internal_2025-12-22_Draft</t>
  </si>
  <si>
    <t>Word_Internal_Final.summary table</t>
  </si>
  <si>
    <t>Word_SummaryTable_Internal_2025-08-19_Final</t>
  </si>
  <si>
    <t>Excel_Internal_Final.chart drafts</t>
  </si>
  <si>
    <t>Excel_ChartDrafts_Internal_2025-02-11_Final</t>
  </si>
  <si>
    <t>Excel_Internal_Draft.briefing note</t>
  </si>
  <si>
    <t>Excel_BriefingNote_Internal_2025-12-02_Draft</t>
  </si>
  <si>
    <t>Excel_Transitory_Internal_2025-02-27_Draft</t>
  </si>
  <si>
    <t>Word_Internal_Draft.meeting notes</t>
  </si>
  <si>
    <t>Word_MeetingNotes_Internal_2025-04-08_Draft</t>
  </si>
  <si>
    <t>Word_Internal_Final.meeting notes</t>
  </si>
  <si>
    <t>Word_MeetingNotes_Internal_2025-12-03_Final</t>
  </si>
  <si>
    <t>Word_Internal_Final.approval record</t>
  </si>
  <si>
    <t>Word_ApprovalRecord_Internal_2025-07-09_Final</t>
  </si>
  <si>
    <t>PowerPoint_DashboardDeck_Internal_2025-12-19_Final</t>
  </si>
  <si>
    <t>PowerPoint_DashboardDeck_Internal_2025-12-12_Draft</t>
  </si>
  <si>
    <t>PowerPoint_DashboardDeck_Internal_2025-12-16_Final</t>
  </si>
  <si>
    <t xml:space="preserve">Excel_Internal_Draft.tax records </t>
  </si>
  <si>
    <t>Excel_TaxRecords_Internal_2025-07-16_Draft</t>
  </si>
  <si>
    <t>Excel_Internal_Draft.expense report</t>
  </si>
  <si>
    <t>Excel_ExpenseReport_Internal_2025-02-04_Draft</t>
  </si>
  <si>
    <t>Excel_ExpenseReport_Internal_2025-04-10_Draft</t>
  </si>
  <si>
    <t>Word_Internal_Final.expense report</t>
  </si>
  <si>
    <t>Word_ExpenseReport_Internal_2025-07-28_Final</t>
  </si>
  <si>
    <t xml:space="preserve">Excel_Internal_Superseded.tax records </t>
  </si>
  <si>
    <t>Excel_TaxRecords_Internal_2025-05-20_Superseded</t>
  </si>
  <si>
    <t>Excel_Internal_Final.expense report</t>
  </si>
  <si>
    <t>Excel_ExpenseReport_Internal_2025-07-05_Final</t>
  </si>
  <si>
    <t>Excel_ExpenseReport_Internal_2025-09-15_Draft</t>
  </si>
  <si>
    <t>PDF_Internal_Final.expense report</t>
  </si>
  <si>
    <t>PDF_ExpenseReport_Internal_2025-11-21_Final</t>
  </si>
  <si>
    <t>Word_Internal_Draft.approval record</t>
  </si>
  <si>
    <t>Word_ApprovalRecord_Internal_2025-01-08_Draft</t>
  </si>
  <si>
    <t>Word_Public_Final.summary table</t>
  </si>
  <si>
    <t>Word_SummaryTable_Public_2025-09-25_Final</t>
  </si>
  <si>
    <t>Excel_Public_Draft.chart drafts</t>
  </si>
  <si>
    <t>Excel_ChartDrafts_Public_2025-07-06_Draft</t>
  </si>
  <si>
    <t>Excel_Public_Draft.briefing note</t>
  </si>
  <si>
    <t>Excel_BriefingNote_Public_2025-03-19_Draft</t>
  </si>
  <si>
    <t>Word_Public_Draft.transitory</t>
  </si>
  <si>
    <t>Word_Transitory_Public_2025-11-04_Draft</t>
  </si>
  <si>
    <t>EmailExport_Public_Final.meeting notes</t>
  </si>
  <si>
    <t>EmailExport_MeetingNotes_Public_2025-07-20_Final</t>
  </si>
  <si>
    <t>EmailExport_MeetingNotes_Public_2025-06-28_Final</t>
  </si>
  <si>
    <t>Word_Public_Final.chart drafts</t>
  </si>
  <si>
    <t>Word_ChartDrafts_Public_2025-05-23_Final</t>
  </si>
  <si>
    <t>Excel_BriefingNote_Public_2025-12-21_Draft</t>
  </si>
  <si>
    <t>Word_Public_Superseded.transitory</t>
  </si>
  <si>
    <t>Word_Transitory_Public_2025-09-12_Superseded</t>
  </si>
  <si>
    <t>Scan_Public_Draft.summary table</t>
  </si>
  <si>
    <t>Scan_SummaryTable_Public_2025-06-18_Draft</t>
  </si>
  <si>
    <t>PowerPoint_Public_Superseded.briefing note</t>
  </si>
  <si>
    <t>PowerPoint_BriefingNote_Public_2025-04-22_Superseded</t>
  </si>
  <si>
    <t>PowerPoint_Internal_Draft.case file</t>
  </si>
  <si>
    <t>PowerPoint_CaseFile_Internal_2025-12-09_Draft</t>
  </si>
  <si>
    <t>PowerPoint_Internal_Final.case file</t>
  </si>
  <si>
    <t>PowerPoint_CaseFile_Internal_2025-10-19_Final</t>
  </si>
  <si>
    <t>Excel_Internal_Draft.case file</t>
  </si>
  <si>
    <t>Excel_CaseFile_Internal_2025-01-19_Draft</t>
  </si>
  <si>
    <t>Excel_CaseFile_Internal_2025-03-08_Draft</t>
  </si>
  <si>
    <t>Excel_CaseFile_Internal_2025-03-07_Draft</t>
  </si>
  <si>
    <t>Excel_Internal_Final.case file</t>
  </si>
  <si>
    <t>Excel_CaseFile_Internal_2025-01-08_Final</t>
  </si>
  <si>
    <t>Excel_Internal_Superseded.case file</t>
  </si>
  <si>
    <t>Excel_CaseFile_Internal_2025-01-04_Superseded</t>
  </si>
  <si>
    <t>Word_Internal_Final.case file</t>
  </si>
  <si>
    <t>Word_CaseFile_Internal_2025-07-17_Final</t>
  </si>
  <si>
    <t>Excel_CaseFile_Internal_2025-03-15_Draft</t>
  </si>
  <si>
    <t>Excel_CaseFile_Internal_2025-11-09_Final</t>
  </si>
  <si>
    <t>Excel_Internal_Draft.judgment</t>
  </si>
  <si>
    <t>Excel_Judgment_Internal_2025-05-10_Draft</t>
  </si>
  <si>
    <t>Excel_Internal_Final.case strategy</t>
  </si>
  <si>
    <t>Excel_CaseStrategy_Internal_2025-08-01_Final</t>
  </si>
  <si>
    <t>Word_Internal_Final.appeal</t>
  </si>
  <si>
    <t>Word_Appeal_Internal_2025-12-24_Final</t>
  </si>
  <si>
    <t>Word_Internal_Draft.appeal</t>
  </si>
  <si>
    <t>Word_Appeal_Internal_2025-11-23_Draft</t>
  </si>
  <si>
    <t>PowerPoint_Internal_Draft.appeal</t>
  </si>
  <si>
    <t>PowerPoint_Appeal_Internal_2025-06-03_Draft</t>
  </si>
  <si>
    <t>PowerPoint_Appeal_Internal_2025-08-22_Draft</t>
  </si>
  <si>
    <t>PowerPoint_Appeal_Internal_2025-08-08_Draft</t>
  </si>
  <si>
    <t>Excel_Internal_Draft.appeal</t>
  </si>
  <si>
    <t>Excel_Appeal_Internal_2025-02-01_Draft</t>
  </si>
  <si>
    <t>Excel_Appeal_Internal_2025-02-22_Draft</t>
  </si>
  <si>
    <t>Excel_Internal_Final.onboarding_documentation_128</t>
  </si>
  <si>
    <t>Excel_Onboarding_Documentation_128_Internal_2025-05-04_Final</t>
  </si>
  <si>
    <t>Onboarding_Documentation_128</t>
  </si>
  <si>
    <t>Word_Internal_Final.onboarding_documentation_129</t>
  </si>
  <si>
    <t>Word_Onboarding_Documentation_129_Internal_2025-11-13_Final</t>
  </si>
  <si>
    <t>Onboarding_Documentation_129</t>
  </si>
  <si>
    <t>Excel_Internal_Final.onboarding_documentation_130</t>
  </si>
  <si>
    <t>Excel_Onboarding_Documentation_130_Internal_2025-10-08_Final</t>
  </si>
  <si>
    <t>Onboarding_Documentation_130</t>
  </si>
  <si>
    <t>Excel_Internal_Draft.onboarding_documentation_131</t>
  </si>
  <si>
    <t>Excel_Onboarding_Documentation_131_Internal_2025-03-07_Draft</t>
  </si>
  <si>
    <t>Onboarding_Documentation_131</t>
  </si>
  <si>
    <t>Excel_Internal_Final.onboarding_documentation_132</t>
  </si>
  <si>
    <t>Excel_Onboarding_Documentation_132_Internal_2025-07-03_Final</t>
  </si>
  <si>
    <t>Onboarding_Documentation_132</t>
  </si>
  <si>
    <t>Excel_CaseFile_Internal_2025-07-19_Draft</t>
  </si>
  <si>
    <t>Word_SummaryTable_Internal_2025-02-08_Draft</t>
  </si>
  <si>
    <t>Word_SummaryTable_Internal_2025-02-23_Draft</t>
  </si>
  <si>
    <t>EmailExport_Internal_Final.chart drafts</t>
  </si>
  <si>
    <t>EmailExport_ChartDrafts_Internal_2025-02-14_Final</t>
  </si>
  <si>
    <t>EmailExport_Internal_Superseded.weekly status summary</t>
  </si>
  <si>
    <t>EmailExport_WeeklyStatusSummary_Internal_2025-12-02_Superseded</t>
  </si>
  <si>
    <t>Word_Internal_Final.dashboard deck</t>
  </si>
  <si>
    <t>Word_DashboardDeck_Internal_2025-03-14_Final</t>
  </si>
  <si>
    <t>Excel_DashboardDeck_Internal_2025-09-23_Draft</t>
  </si>
  <si>
    <t>Word_Appeal_Internal_2025-10-02_Final</t>
  </si>
  <si>
    <t>Scan_Internal_Draft.appeal</t>
  </si>
  <si>
    <t>Scan_Appeal_Internal_2025-12-23_Draft</t>
  </si>
  <si>
    <t>PowerPoint_Internal_Final.appeal</t>
  </si>
  <si>
    <t>PowerPoint_Appeal_Internal_2025-07-01_Final</t>
  </si>
  <si>
    <t>PowerPoint_Appeal_Internal_2025-04-02_Draft</t>
  </si>
  <si>
    <t>PowerPoint_Appeal_Internal_2025-08-14_Draft</t>
  </si>
  <si>
    <t>Word_Appeal_Internal_2025-08-21_Draft</t>
  </si>
  <si>
    <t>Word_Appeal_Internal_2025-09-07_Final</t>
  </si>
  <si>
    <t>Excel_CaseFile_Internal_2025-05-04_Draft</t>
  </si>
  <si>
    <t>Excel_CaseFile_Internal_2025-09-25_Final</t>
  </si>
  <si>
    <t>Word_CaseFile_Internal_2025-06-15_Final</t>
  </si>
  <si>
    <t>EmailExport_Internal_Draft.meeting notes</t>
  </si>
  <si>
    <t>EmailExport_MeetingNotes_Internal_2025-12-25_Draft</t>
  </si>
  <si>
    <r>
      <t xml:space="preserve">         </t>
    </r>
    <r>
      <rPr>
        <b/>
        <sz val="22"/>
        <color theme="1"/>
        <rFont val="Calibri (Body)"/>
      </rPr>
      <t>Goal:</t>
    </r>
    <r>
      <rPr>
        <sz val="22"/>
        <color theme="1"/>
        <rFont val="Calibri (Body)"/>
      </rPr>
      <t xml:space="preserve"> Simulate network drive cleanup + file migration planning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</si>
</sst>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scheme val="minor"/>
    </font>
    <font>
      <sz val="11"/>
      <color theme="1"/>
      <name val="Calibri"/>
      <family val="2"/>
      <scheme val="minor"/>
    </font>
    <font>
      <sz val="11"/>
      <color indexed="8"/>
      <name val="Calibri"/>
      <family val="2"/>
      <scheme val="minor"/>
    </font>
    <font>
      <b/>
      <sz val="11"/>
      <color theme="1"/>
      <name val="Calibri"/>
      <family val="2"/>
      <scheme val="minor"/>
    </font>
    <font>
      <sz val="11"/>
      <color rgb="FF000000"/>
      <name val="Calibri"/>
      <family val="2"/>
      <scheme val="minor"/>
    </font>
    <font>
      <sz val="8"/>
      <name val="Calibri"/>
      <family val="2"/>
      <scheme val="minor"/>
    </font>
    <font>
      <b/>
      <sz val="16"/>
      <color theme="1"/>
      <name val="Calibri (Body)"/>
    </font>
    <font>
      <b/>
      <sz val="16"/>
      <color theme="1"/>
      <name val="Calibri"/>
      <family val="2"/>
      <scheme val="minor"/>
    </font>
    <font>
      <b/>
      <sz val="20"/>
      <color theme="1"/>
      <name val="Calibri (Body)"/>
    </font>
    <font>
      <sz val="11"/>
      <color theme="1"/>
      <name val="Calibri (Body)"/>
    </font>
    <font>
      <sz val="20"/>
      <color theme="1"/>
      <name val="Calibri (Body)"/>
    </font>
    <font>
      <sz val="22"/>
      <color theme="1"/>
      <name val="Calibri (Body)"/>
    </font>
    <font>
      <b/>
      <sz val="22"/>
      <color theme="1"/>
      <name val="Calibri (Body)"/>
    </font>
    <font>
      <b/>
      <sz val="28"/>
      <color theme="1"/>
      <name val="Calibri (Body)"/>
    </font>
    <font>
      <sz val="36"/>
      <color theme="1"/>
      <name val="Calibri"/>
      <family val="2"/>
      <scheme val="minor"/>
    </font>
    <font>
      <b/>
      <sz val="24"/>
      <color theme="1"/>
      <name val="Calibri"/>
      <family val="2"/>
      <scheme val="minor"/>
    </font>
    <font>
      <b/>
      <sz val="28"/>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D9E1F2"/>
        <bgColor rgb="FFD9E1F2"/>
      </patternFill>
    </fill>
  </fills>
  <borders count="3">
    <border>
      <left/>
      <right/>
      <top/>
      <bottom/>
      <diagonal/>
    </border>
    <border>
      <left/>
      <right/>
      <top style="thin">
        <color theme="4" tint="0.39997558519241921"/>
      </top>
      <bottom style="thin">
        <color theme="4" tint="0.39997558519241921"/>
      </bottom>
      <diagonal/>
    </border>
    <border>
      <left/>
      <right style="thin">
        <color rgb="FF8EA9DB"/>
      </right>
      <top style="thin">
        <color rgb="FF8EA9DB"/>
      </top>
      <bottom style="thin">
        <color rgb="FF8EA9DB"/>
      </bottom>
      <diagonal/>
    </border>
  </borders>
  <cellStyleXfs count="4">
    <xf numFmtId="0" fontId="0" fillId="0" borderId="0"/>
    <xf numFmtId="0" fontId="2" fillId="0" borderId="0"/>
    <xf numFmtId="0" fontId="1" fillId="0" borderId="0"/>
    <xf numFmtId="0" fontId="1" fillId="0" borderId="0"/>
  </cellStyleXfs>
  <cellXfs count="20">
    <xf numFmtId="0" fontId="0" fillId="0" borderId="0" xfId="0"/>
    <xf numFmtId="0" fontId="0" fillId="0" borderId="0" xfId="0" applyAlignment="1">
      <alignment horizontal="center"/>
    </xf>
    <xf numFmtId="0" fontId="0" fillId="2" borderId="1" xfId="0" applyFill="1" applyBorder="1"/>
    <xf numFmtId="14" fontId="0" fillId="0" borderId="0" xfId="0" applyNumberFormat="1"/>
    <xf numFmtId="0" fontId="4" fillId="3" borderId="0" xfId="0" applyFont="1" applyFill="1"/>
    <xf numFmtId="0" fontId="0" fillId="0" borderId="2" xfId="0" applyBorder="1"/>
    <xf numFmtId="0" fontId="0" fillId="0" borderId="0" xfId="0" applyAlignment="1">
      <alignment wrapText="1"/>
    </xf>
    <xf numFmtId="0" fontId="7"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4" fillId="0" borderId="0" xfId="0" applyFont="1"/>
    <xf numFmtId="164" fontId="0" fillId="0" borderId="0" xfId="0" applyNumberFormat="1"/>
    <xf numFmtId="0" fontId="0" fillId="0" borderId="0" xfId="0" applyAlignment="1">
      <alignment horizontal="center"/>
    </xf>
    <xf numFmtId="0" fontId="6" fillId="0" borderId="0" xfId="0" applyFont="1"/>
    <xf numFmtId="0" fontId="0" fillId="0" borderId="0" xfId="0"/>
    <xf numFmtId="0" fontId="9" fillId="0" borderId="0" xfId="0" applyFont="1"/>
    <xf numFmtId="0" fontId="3" fillId="0" borderId="0" xfId="0" applyFont="1"/>
    <xf numFmtId="0" fontId="0" fillId="0" borderId="0" xfId="0">
      <extLst>
        <ext xmlns:xfpb="http://schemas.microsoft.com/office/spreadsheetml/2022/featurepropertybag" uri="{C7286773-470A-42A8-94C5-96B5CB345126}">
          <xfpb:xfComplement i="0"/>
        </ext>
      </extLst>
    </xf>
  </cellXfs>
  <cellStyles count="4">
    <cellStyle name="Normal" xfId="0" builtinId="0"/>
    <cellStyle name="Normal 2 2" xfId="2" xr:uid="{A1798CB4-FD0C-454F-8CDC-928394F5036E}"/>
    <cellStyle name="Normal 4" xfId="1" xr:uid="{7FE4280D-AA80-4876-B5A3-F9677918CCCE}"/>
    <cellStyle name="Normal 8" xfId="3" xr:uid="{45B6D876-9314-4F71-AD3A-779A21BA5F6D}"/>
  </cellStyles>
  <dxfs count="30">
    <dxf>
      <font>
        <color rgb="FF9C0006"/>
      </font>
      <fill>
        <patternFill>
          <bgColor rgb="FFFFC7CE"/>
        </patternFill>
      </fill>
    </dxf>
    <dxf>
      <fill>
        <patternFill>
          <bgColor theme="7" tint="0.79998168889431442"/>
        </patternFill>
      </fill>
    </dxf>
    <dxf>
      <font>
        <color rgb="FF9C0006"/>
      </font>
      <fill>
        <patternFill>
          <bgColor rgb="FFFFC7CE"/>
        </patternFill>
      </fill>
    </dxf>
    <dxf>
      <font>
        <b/>
        <i val="0"/>
      </font>
      <fill>
        <patternFill>
          <bgColor theme="5" tint="0.39994506668294322"/>
        </patternFill>
      </fill>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346635</xdr:colOff>
      <xdr:row>7</xdr:row>
      <xdr:rowOff>17182</xdr:rowOff>
    </xdr:from>
    <xdr:to>
      <xdr:col>6</xdr:col>
      <xdr:colOff>304800</xdr:colOff>
      <xdr:row>22</xdr:row>
      <xdr:rowOff>139700</xdr:rowOff>
    </xdr:to>
    <xdr:sp macro="" textlink="">
      <xdr:nvSpPr>
        <xdr:cNvPr id="2" name="TextBox 1">
          <a:extLst>
            <a:ext uri="{FF2B5EF4-FFF2-40B4-BE49-F238E27FC236}">
              <a16:creationId xmlns:a16="http://schemas.microsoft.com/office/drawing/2014/main" id="{C1DC51DB-297D-38D2-E34C-71373BCAC240}"/>
            </a:ext>
          </a:extLst>
        </xdr:cNvPr>
        <xdr:cNvSpPr txBox="1"/>
      </xdr:nvSpPr>
      <xdr:spPr>
        <a:xfrm>
          <a:off x="346635" y="2493682"/>
          <a:ext cx="8378265" cy="29800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CA" sz="2000" b="1" i="0" u="none" strike="noStrike">
              <a:solidFill>
                <a:schemeClr val="dk1"/>
              </a:solidFill>
              <a:effectLst/>
              <a:latin typeface="+mn-lt"/>
              <a:ea typeface="+mn-ea"/>
              <a:cs typeface="+mn-cs"/>
            </a:rPr>
            <a:t>Objective</a:t>
          </a:r>
          <a:endParaRPr lang="en-CA" sz="2000" b="1">
            <a:effectLst/>
          </a:endParaRPr>
        </a:p>
        <a:p>
          <a:pPr rtl="0"/>
          <a:r>
            <a:rPr lang="en-CA" sz="2000" b="0" i="0" u="none" strike="noStrike">
              <a:solidFill>
                <a:schemeClr val="dk1"/>
              </a:solidFill>
              <a:effectLst/>
              <a:latin typeface="+mn-lt"/>
              <a:ea typeface="+mn-ea"/>
              <a:cs typeface="+mn-cs"/>
            </a:rPr>
            <a:t>This project simulates an information management workflow using synthetic records, with Ontario Open Data Portal conventions used to inform naming, version control, and dataset structure. The data was selected to mirror realistic, publicly available resources. The purpose was to clean a network drive in preparation for SharePoint Online migration. I built a file inventory to manage records, classified retention and disposition cases, identified unreferenced  and duplicate files, using structures associated with public-sector operations. </a:t>
          </a:r>
          <a:endParaRPr lang="en-CA" sz="2000" b="0">
            <a:effectLst/>
          </a:endParaRPr>
        </a:p>
        <a:p>
          <a:br>
            <a:rPr lang="en-CA"/>
          </a:br>
          <a:endParaRPr lang="en-US" sz="1100"/>
        </a:p>
      </xdr:txBody>
    </xdr:sp>
    <xdr:clientData/>
  </xdr:twoCellAnchor>
  <xdr:twoCellAnchor>
    <xdr:from>
      <xdr:col>7</xdr:col>
      <xdr:colOff>164352</xdr:colOff>
      <xdr:row>3</xdr:row>
      <xdr:rowOff>74707</xdr:rowOff>
    </xdr:from>
    <xdr:to>
      <xdr:col>19</xdr:col>
      <xdr:colOff>478118</xdr:colOff>
      <xdr:row>36</xdr:row>
      <xdr:rowOff>164353</xdr:rowOff>
    </xdr:to>
    <xdr:sp macro="" textlink="">
      <xdr:nvSpPr>
        <xdr:cNvPr id="3" name="TextBox 2">
          <a:extLst>
            <a:ext uri="{FF2B5EF4-FFF2-40B4-BE49-F238E27FC236}">
              <a16:creationId xmlns:a16="http://schemas.microsoft.com/office/drawing/2014/main" id="{6D696CEB-1408-0C1D-3DCF-EE0D093EBA5A}"/>
            </a:ext>
          </a:extLst>
        </xdr:cNvPr>
        <xdr:cNvSpPr txBox="1"/>
      </xdr:nvSpPr>
      <xdr:spPr>
        <a:xfrm>
          <a:off x="9383058" y="1195295"/>
          <a:ext cx="10174942" cy="70522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CA" sz="2000" b="1" i="0" u="none" strike="noStrike">
              <a:solidFill>
                <a:schemeClr val="dk1"/>
              </a:solidFill>
              <a:effectLst/>
              <a:latin typeface="+mn-lt"/>
              <a:ea typeface="+mn-ea"/>
              <a:cs typeface="+mn-cs"/>
            </a:rPr>
            <a:t>Guidlines &amp; Ressources</a:t>
          </a:r>
          <a:r>
            <a:rPr lang="en-CA" sz="2000" b="1" i="0" u="none" strike="noStrike" baseline="0">
              <a:solidFill>
                <a:schemeClr val="dk1"/>
              </a:solidFill>
              <a:effectLst/>
              <a:latin typeface="+mn-lt"/>
              <a:ea typeface="+mn-ea"/>
              <a:cs typeface="+mn-cs"/>
            </a:rPr>
            <a:t> </a:t>
          </a:r>
          <a:endParaRPr lang="en-CA" sz="2000" b="1" i="0" u="none" strike="noStrike">
            <a:solidFill>
              <a:schemeClr val="dk1"/>
            </a:solidFill>
            <a:effectLst/>
            <a:latin typeface="+mn-lt"/>
            <a:ea typeface="+mn-ea"/>
            <a:cs typeface="+mn-cs"/>
          </a:endParaRPr>
        </a:p>
        <a:p>
          <a:pPr rtl="0"/>
          <a:endParaRPr lang="en-CA" sz="2000" b="0" i="0" u="none" strike="noStrike">
            <a:solidFill>
              <a:schemeClr val="dk1"/>
            </a:solidFill>
            <a:effectLst/>
            <a:latin typeface="+mn-lt"/>
            <a:ea typeface="+mn-ea"/>
            <a:cs typeface="+mn-cs"/>
          </a:endParaRPr>
        </a:p>
        <a:p>
          <a:pPr rtl="0"/>
          <a:r>
            <a:rPr lang="en-CA" sz="2000" b="0" i="0" u="none" strike="noStrike">
              <a:solidFill>
                <a:schemeClr val="dk1"/>
              </a:solidFill>
              <a:effectLst/>
              <a:latin typeface="+mn-lt"/>
              <a:ea typeface="+mn-ea"/>
              <a:cs typeface="+mn-cs"/>
            </a:rPr>
            <a:t>This project required understanding of standard government record management principles and guidelines, comprehension of standardized data privacy and access, and publicly available software parallel to government use-cases. </a:t>
          </a:r>
        </a:p>
        <a:p>
          <a:pPr rtl="0"/>
          <a:endParaRPr lang="en-CA" sz="2000" b="0">
            <a:effectLst/>
          </a:endParaRPr>
        </a:p>
        <a:p>
          <a:pPr rtl="0"/>
          <a:r>
            <a:rPr lang="en-CA" sz="2000" b="1" i="0" u="none" strike="noStrike">
              <a:solidFill>
                <a:schemeClr val="dk1"/>
              </a:solidFill>
              <a:effectLst/>
              <a:latin typeface="+mn-lt"/>
              <a:ea typeface="+mn-ea"/>
              <a:cs typeface="+mn-cs"/>
            </a:rPr>
            <a:t>Records &amp; IM: </a:t>
          </a:r>
          <a:endParaRPr lang="en-CA" sz="2000" b="1">
            <a:effectLst/>
          </a:endParaRPr>
        </a:p>
        <a:p>
          <a:pPr rtl="0" fontAlgn="base"/>
          <a:r>
            <a:rPr lang="en-CA" sz="2000" b="0" i="0" u="none" strike="noStrike">
              <a:solidFill>
                <a:schemeClr val="dk1"/>
              </a:solidFill>
              <a:effectLst/>
              <a:latin typeface="+mn-lt"/>
              <a:ea typeface="+mn-ea"/>
              <a:cs typeface="+mn-cs"/>
            </a:rPr>
            <a:t>- ISO 15489: Public-sector, international standards for record mangement </a:t>
          </a:r>
        </a:p>
        <a:p>
          <a:pPr rtl="0" fontAlgn="base"/>
          <a:r>
            <a:rPr lang="en-CA" sz="2000" b="0" i="0" u="none" strike="noStrike">
              <a:solidFill>
                <a:schemeClr val="dk1"/>
              </a:solidFill>
              <a:effectLst/>
              <a:latin typeface="+mn-lt"/>
              <a:ea typeface="+mn-ea"/>
              <a:cs typeface="+mn-cs"/>
            </a:rPr>
            <a:t>- Government of Ontario: government record theory </a:t>
          </a:r>
        </a:p>
        <a:p>
          <a:pPr rtl="0" fontAlgn="base"/>
          <a:r>
            <a:rPr lang="en-CA" sz="2000" b="0" i="0" u="none" strike="noStrike">
              <a:solidFill>
                <a:schemeClr val="dk1"/>
              </a:solidFill>
              <a:effectLst/>
              <a:latin typeface="+mn-lt"/>
              <a:ea typeface="+mn-ea"/>
              <a:cs typeface="+mn-cs"/>
            </a:rPr>
            <a:t>- Ontario Open Data Portal: datasets, metadata </a:t>
          </a:r>
        </a:p>
        <a:p>
          <a:pPr rtl="0" fontAlgn="base"/>
          <a:r>
            <a:rPr lang="en-CA" sz="2000" b="0" i="0" u="none" strike="noStrike">
              <a:solidFill>
                <a:schemeClr val="dk1"/>
              </a:solidFill>
              <a:effectLst/>
              <a:latin typeface="+mn-lt"/>
              <a:ea typeface="+mn-ea"/>
              <a:cs typeface="+mn-cs"/>
            </a:rPr>
            <a:t>- Library and Archives Canada (disposition, record management)</a:t>
          </a:r>
        </a:p>
        <a:p>
          <a:pPr rtl="0" fontAlgn="base"/>
          <a:r>
            <a:rPr lang="en-CA" sz="2000" b="0" i="0" u="none" strike="noStrike">
              <a:solidFill>
                <a:schemeClr val="dk1"/>
              </a:solidFill>
              <a:effectLst/>
              <a:latin typeface="+mn-lt"/>
              <a:ea typeface="+mn-ea"/>
              <a:cs typeface="+mn-cs"/>
            </a:rPr>
            <a:t>- Microsoft Learn documentation (Excel)</a:t>
          </a:r>
        </a:p>
        <a:p>
          <a:pPr rtl="0" fontAlgn="base"/>
          <a:r>
            <a:rPr lang="en-CA" sz="2000" b="0" i="0" u="none" strike="noStrike">
              <a:solidFill>
                <a:schemeClr val="dk1"/>
              </a:solidFill>
              <a:effectLst/>
              <a:latin typeface="+mn-lt"/>
              <a:ea typeface="+mn-ea"/>
              <a:cs typeface="+mn-cs"/>
            </a:rPr>
            <a:t>- Microsoft SharePoint documentation (lists, metadata, migration)</a:t>
          </a:r>
        </a:p>
        <a:p>
          <a:pPr rtl="0"/>
          <a:endParaRPr lang="en-CA" sz="2000" b="0" i="0" u="none" strike="noStrike">
            <a:solidFill>
              <a:schemeClr val="dk1"/>
            </a:solidFill>
            <a:effectLst/>
            <a:latin typeface="+mn-lt"/>
            <a:ea typeface="+mn-ea"/>
            <a:cs typeface="+mn-cs"/>
          </a:endParaRPr>
        </a:p>
        <a:p>
          <a:pPr rtl="0"/>
          <a:r>
            <a:rPr lang="en-CA" sz="2000" b="1" i="0" u="none" strike="noStrike">
              <a:solidFill>
                <a:schemeClr val="dk1"/>
              </a:solidFill>
              <a:effectLst/>
              <a:latin typeface="+mn-lt"/>
              <a:ea typeface="+mn-ea"/>
              <a:cs typeface="+mn-cs"/>
            </a:rPr>
            <a:t>Data Privacy &amp; Access</a:t>
          </a:r>
          <a:r>
            <a:rPr lang="en-CA" sz="2000" b="0" i="0" u="none" strike="noStrike">
              <a:solidFill>
                <a:schemeClr val="dk1"/>
              </a:solidFill>
              <a:effectLst/>
              <a:latin typeface="+mn-lt"/>
              <a:ea typeface="+mn-ea"/>
              <a:cs typeface="+mn-cs"/>
            </a:rPr>
            <a:t>: </a:t>
          </a:r>
          <a:endParaRPr lang="en-CA" sz="2000" b="0">
            <a:effectLst/>
          </a:endParaRPr>
        </a:p>
        <a:p>
          <a:pPr rtl="0" fontAlgn="base"/>
          <a:r>
            <a:rPr lang="en-CA" sz="2000" b="0" i="0" u="none" strike="noStrike">
              <a:solidFill>
                <a:schemeClr val="dk1"/>
              </a:solidFill>
              <a:effectLst/>
              <a:latin typeface="+mn-lt"/>
              <a:ea typeface="+mn-ea"/>
              <a:cs typeface="+mn-cs"/>
            </a:rPr>
            <a:t>- IPC Ontario - Privacy and access documentation</a:t>
          </a:r>
        </a:p>
        <a:p>
          <a:pPr rtl="0" fontAlgn="base"/>
          <a:r>
            <a:rPr lang="en-CA" sz="2000" b="0" i="0" u="none" strike="noStrike">
              <a:solidFill>
                <a:schemeClr val="dk1"/>
              </a:solidFill>
              <a:effectLst/>
              <a:latin typeface="+mn-lt"/>
              <a:ea typeface="+mn-ea"/>
              <a:cs typeface="+mn-cs"/>
            </a:rPr>
            <a:t>- Ontario FIPPA/MFIPPA - comprehension</a:t>
          </a:r>
        </a:p>
        <a:p>
          <a:pPr rtl="0" fontAlgn="base"/>
          <a:r>
            <a:rPr lang="en-CA" sz="2000" b="0" i="0" u="none" strike="noStrike">
              <a:solidFill>
                <a:schemeClr val="dk1"/>
              </a:solidFill>
              <a:effectLst/>
              <a:latin typeface="+mn-lt"/>
              <a:ea typeface="+mn-ea"/>
              <a:cs typeface="+mn-cs"/>
            </a:rPr>
            <a:t> </a:t>
          </a:r>
        </a:p>
        <a:p>
          <a:pPr rtl="0"/>
          <a:r>
            <a:rPr lang="en-CA" sz="2000" b="1" i="0" u="none" strike="noStrike">
              <a:solidFill>
                <a:schemeClr val="dk1"/>
              </a:solidFill>
              <a:effectLst/>
              <a:latin typeface="+mn-lt"/>
              <a:ea typeface="+mn-ea"/>
              <a:cs typeface="+mn-cs"/>
            </a:rPr>
            <a:t>Software and Data Structures:</a:t>
          </a:r>
          <a:endParaRPr lang="en-CA" sz="2000" b="1">
            <a:effectLst/>
          </a:endParaRPr>
        </a:p>
        <a:p>
          <a:pPr rtl="0" fontAlgn="base"/>
          <a:r>
            <a:rPr lang="en-CA" sz="2000" b="0" i="0" u="none" strike="noStrike">
              <a:solidFill>
                <a:schemeClr val="dk1"/>
              </a:solidFill>
              <a:effectLst/>
              <a:latin typeface="+mn-lt"/>
              <a:ea typeface="+mn-ea"/>
              <a:cs typeface="+mn-cs"/>
            </a:rPr>
            <a:t>- Excel Tables</a:t>
          </a:r>
        </a:p>
        <a:p>
          <a:pPr rtl="0" fontAlgn="base"/>
          <a:r>
            <a:rPr lang="en-CA" sz="2000" b="0" i="0" u="none" strike="noStrike">
              <a:solidFill>
                <a:schemeClr val="dk1"/>
              </a:solidFill>
              <a:effectLst/>
              <a:latin typeface="+mn-lt"/>
              <a:ea typeface="+mn-ea"/>
              <a:cs typeface="+mn-cs"/>
            </a:rPr>
            <a:t>- Excel Data Validation Tools </a:t>
          </a:r>
        </a:p>
        <a:p>
          <a:pPr rtl="0" fontAlgn="base"/>
          <a:r>
            <a:rPr lang="en-CA" sz="2000" b="0" i="0" u="none" strike="noStrike">
              <a:solidFill>
                <a:schemeClr val="dk1"/>
              </a:solidFill>
              <a:effectLst/>
              <a:latin typeface="+mn-lt"/>
              <a:ea typeface="+mn-ea"/>
              <a:cs typeface="+mn-cs"/>
            </a:rPr>
            <a:t>- SharePoint-style inventories </a:t>
          </a:r>
        </a:p>
        <a:p>
          <a:endParaRPr lang="en-US" sz="1100"/>
        </a:p>
      </xdr:txBody>
    </xdr:sp>
    <xdr:clientData/>
  </xdr:twoCellAnchor>
  <xdr:twoCellAnchor>
    <xdr:from>
      <xdr:col>0</xdr:col>
      <xdr:colOff>469900</xdr:colOff>
      <xdr:row>0</xdr:row>
      <xdr:rowOff>88900</xdr:rowOff>
    </xdr:from>
    <xdr:to>
      <xdr:col>7</xdr:col>
      <xdr:colOff>203200</xdr:colOff>
      <xdr:row>2</xdr:row>
      <xdr:rowOff>101600</xdr:rowOff>
    </xdr:to>
    <xdr:sp macro="" textlink="">
      <xdr:nvSpPr>
        <xdr:cNvPr id="5" name="TextBox 4">
          <a:extLst>
            <a:ext uri="{FF2B5EF4-FFF2-40B4-BE49-F238E27FC236}">
              <a16:creationId xmlns:a16="http://schemas.microsoft.com/office/drawing/2014/main" id="{63F77246-9F93-6CF7-3EAD-05EC90BBD96F}"/>
            </a:ext>
          </a:extLst>
        </xdr:cNvPr>
        <xdr:cNvSpPr txBox="1"/>
      </xdr:nvSpPr>
      <xdr:spPr>
        <a:xfrm>
          <a:off x="469900" y="88900"/>
          <a:ext cx="8978900" cy="67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t>Digital Records Managment &amp; Inventory Build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491888</xdr:colOff>
      <xdr:row>0</xdr:row>
      <xdr:rowOff>142165</xdr:rowOff>
    </xdr:from>
    <xdr:to>
      <xdr:col>12</xdr:col>
      <xdr:colOff>189552</xdr:colOff>
      <xdr:row>4</xdr:row>
      <xdr:rowOff>105013</xdr:rowOff>
    </xdr:to>
    <xdr:sp macro="" textlink="">
      <xdr:nvSpPr>
        <xdr:cNvPr id="2" name="TextBox 1">
          <a:extLst>
            <a:ext uri="{FF2B5EF4-FFF2-40B4-BE49-F238E27FC236}">
              <a16:creationId xmlns:a16="http://schemas.microsoft.com/office/drawing/2014/main" id="{7C547B1A-5BFD-44FA-498D-11DD576CFFB3}"/>
            </a:ext>
          </a:extLst>
        </xdr:cNvPr>
        <xdr:cNvSpPr txBox="1"/>
      </xdr:nvSpPr>
      <xdr:spPr>
        <a:xfrm>
          <a:off x="6263754" y="142165"/>
          <a:ext cx="3820425" cy="7210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t>Project Summary</a:t>
          </a:r>
        </a:p>
      </xdr:txBody>
    </xdr:sp>
    <xdr:clientData/>
  </xdr:twoCellAnchor>
  <xdr:twoCellAnchor>
    <xdr:from>
      <xdr:col>1</xdr:col>
      <xdr:colOff>425734</xdr:colOff>
      <xdr:row>5</xdr:row>
      <xdr:rowOff>170975</xdr:rowOff>
    </xdr:from>
    <xdr:to>
      <xdr:col>9</xdr:col>
      <xdr:colOff>530746</xdr:colOff>
      <xdr:row>38</xdr:row>
      <xdr:rowOff>47388</xdr:rowOff>
    </xdr:to>
    <xdr:sp macro="" textlink="">
      <xdr:nvSpPr>
        <xdr:cNvPr id="3" name="TextBox 2">
          <a:extLst>
            <a:ext uri="{FF2B5EF4-FFF2-40B4-BE49-F238E27FC236}">
              <a16:creationId xmlns:a16="http://schemas.microsoft.com/office/drawing/2014/main" id="{0BD0A331-5B6E-1CCE-4415-84DF017E83A3}"/>
            </a:ext>
          </a:extLst>
        </xdr:cNvPr>
        <xdr:cNvSpPr txBox="1"/>
      </xdr:nvSpPr>
      <xdr:spPr>
        <a:xfrm>
          <a:off x="1250286" y="1118736"/>
          <a:ext cx="6701430" cy="61316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		Key Deliverables</a:t>
          </a:r>
        </a:p>
        <a:p>
          <a:pPr rtl="0" fontAlgn="base"/>
          <a:r>
            <a:rPr lang="en-CA" sz="1800" b="0" i="0" u="none" strike="noStrike">
              <a:solidFill>
                <a:schemeClr val="dk1"/>
              </a:solidFill>
              <a:effectLst/>
              <a:latin typeface="+mn-lt"/>
              <a:ea typeface="+mn-ea"/>
              <a:cs typeface="+mn-cs"/>
            </a:rPr>
            <a:t>- File_Inventory (source of truth with metadata, flags, and recommendations)</a:t>
          </a:r>
        </a:p>
        <a:p>
          <a:pPr rtl="0" fontAlgn="base"/>
          <a:endParaRPr lang="en-CA" sz="1800" b="0"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Inventory_Staging(static</a:t>
          </a:r>
          <a:r>
            <a:rPr lang="en-CA" sz="1800" b="0" i="0" u="none" strike="noStrike" baseline="0">
              <a:solidFill>
                <a:schemeClr val="dk1"/>
              </a:solidFill>
              <a:effectLst/>
              <a:latin typeface="+mn-lt"/>
              <a:ea typeface="+mn-ea"/>
              <a:cs typeface="+mn-cs"/>
            </a:rPr>
            <a:t> values</a:t>
          </a:r>
          <a:r>
            <a:rPr lang="en-CA" sz="1800" b="0" i="0" u="none" strike="noStrike">
              <a:solidFill>
                <a:schemeClr val="dk1"/>
              </a:solidFill>
              <a:effectLst/>
              <a:latin typeface="+mn-lt"/>
              <a:ea typeface="+mn-ea"/>
              <a:cs typeface="+mn-cs"/>
            </a:rPr>
            <a:t>)</a:t>
          </a:r>
        </a:p>
        <a:p>
          <a:pPr rtl="0" fontAlgn="base"/>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Disposition_List (approval-ready list with rationale and next steps)</a:t>
          </a:r>
        </a:p>
        <a:p>
          <a:pPr rtl="0" fontAlgn="base"/>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Dedup_Log (duplicate groups with keep/dispose decisions)</a:t>
          </a:r>
        </a:p>
        <a:p>
          <a:pPr rtl="0" fontAlgn="base"/>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Tagging_Schema (standardized tagging rules for SharePoint Online)</a:t>
          </a:r>
        </a:p>
        <a:p>
          <a:pPr rtl="0" fontAlgn="base"/>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Renaming_Rules (consistent naming convention for migration)</a:t>
          </a:r>
        </a:p>
        <a:p>
          <a:pPr rtl="0" fontAlgn="base"/>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Weekly_Status_Summary (progress tracker and risk/issues summary)</a:t>
          </a:r>
        </a:p>
        <a:p>
          <a:pPr rtl="0" fontAlgn="base"/>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SharePoint_Inventory</a:t>
          </a:r>
        </a:p>
        <a:p>
          <a:pPr rtl="0" fontAlgn="base"/>
          <a:endParaRPr lang="en-CA" sz="1800" b="0" i="0" u="none" strike="noStrike">
            <a:solidFill>
              <a:schemeClr val="dk1"/>
            </a:solidFill>
            <a:effectLst/>
            <a:latin typeface="+mn-lt"/>
            <a:ea typeface="+mn-ea"/>
            <a:cs typeface="+mn-cs"/>
          </a:endParaRPr>
        </a:p>
        <a:p>
          <a:pPr marL="0" marR="0" lvl="0" indent="0" defTabSz="914400" rtl="0" eaLnBrk="1" fontAlgn="base" latinLnBrk="0" hangingPunct="1">
            <a:lnSpc>
              <a:spcPct val="100000"/>
            </a:lnSpc>
            <a:spcBef>
              <a:spcPts val="0"/>
            </a:spcBef>
            <a:spcAft>
              <a:spcPts val="0"/>
            </a:spcAft>
            <a:buClrTx/>
            <a:buSzTx/>
            <a:buFontTx/>
            <a:buNone/>
            <a:tabLst/>
            <a:defRPr/>
          </a:pPr>
          <a:r>
            <a:rPr lang="en-CA" sz="1800" b="0" i="0" u="none" strike="noStrike">
              <a:solidFill>
                <a:schemeClr val="dk1"/>
              </a:solidFill>
              <a:effectLst/>
              <a:latin typeface="+mn-lt"/>
              <a:ea typeface="+mn-ea"/>
              <a:cs typeface="+mn-cs"/>
            </a:rPr>
            <a:t>- SharePoint_Inventory_Export (clean, upload-ready future-state inventory)</a:t>
          </a:r>
          <a:endParaRPr lang="en-CA" sz="1800" b="1" i="0" u="none" strike="noStrike">
            <a:solidFill>
              <a:schemeClr val="dk1"/>
            </a:solidFill>
            <a:effectLst/>
            <a:latin typeface="+mn-lt"/>
            <a:ea typeface="+mn-ea"/>
            <a:cs typeface="+mn-cs"/>
          </a:endParaRPr>
        </a:p>
        <a:p>
          <a:pPr rtl="0" fontAlgn="base"/>
          <a:endParaRPr lang="en-US" sz="2800"/>
        </a:p>
      </xdr:txBody>
    </xdr:sp>
    <xdr:clientData/>
  </xdr:twoCellAnchor>
  <xdr:twoCellAnchor>
    <xdr:from>
      <xdr:col>10</xdr:col>
      <xdr:colOff>311815</xdr:colOff>
      <xdr:row>5</xdr:row>
      <xdr:rowOff>180074</xdr:rowOff>
    </xdr:from>
    <xdr:to>
      <xdr:col>17</xdr:col>
      <xdr:colOff>85300</xdr:colOff>
      <xdr:row>21</xdr:row>
      <xdr:rowOff>108233</xdr:rowOff>
    </xdr:to>
    <xdr:sp macro="" textlink="">
      <xdr:nvSpPr>
        <xdr:cNvPr id="4" name="TextBox 3">
          <a:extLst>
            <a:ext uri="{FF2B5EF4-FFF2-40B4-BE49-F238E27FC236}">
              <a16:creationId xmlns:a16="http://schemas.microsoft.com/office/drawing/2014/main" id="{38E89EAE-19AB-6148-9050-BD3042B833E0}"/>
            </a:ext>
          </a:extLst>
        </xdr:cNvPr>
        <xdr:cNvSpPr txBox="1"/>
      </xdr:nvSpPr>
      <xdr:spPr>
        <a:xfrm>
          <a:off x="8557337" y="1127835"/>
          <a:ext cx="5545351" cy="29609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		</a:t>
          </a:r>
          <a:r>
            <a:rPr lang="en-US" sz="2800" baseline="0"/>
            <a:t>    </a:t>
          </a:r>
          <a:r>
            <a:rPr lang="en-US" sz="2800"/>
            <a:t>Metrics</a:t>
          </a:r>
        </a:p>
        <a:p>
          <a:pPr rtl="0" fontAlgn="base"/>
          <a:r>
            <a:rPr lang="en-CA" sz="1800" b="0" i="0" u="none" strike="noStrike">
              <a:solidFill>
                <a:schemeClr val="dk1"/>
              </a:solidFill>
              <a:effectLst/>
              <a:latin typeface="+mn-lt"/>
              <a:ea typeface="+mn-ea"/>
              <a:cs typeface="+mn-cs"/>
            </a:rPr>
            <a:t>- Total files inventoried: 39</a:t>
          </a:r>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Duplicate groups identified: 10</a:t>
          </a:r>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Files flagged as duplicates: 20</a:t>
          </a:r>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Orphan files requiring owner confirmation: 4</a:t>
          </a:r>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Files recommended for disposal: 18</a:t>
          </a:r>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Files recommended to keep: 16</a:t>
          </a:r>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Files requiring review: 5</a:t>
          </a:r>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Migration-ready files (Keep, not Pending Owner): 16</a:t>
          </a:r>
          <a:endParaRPr lang="en-CA" sz="1800" b="1" i="0" u="none" strike="noStrike">
            <a:solidFill>
              <a:schemeClr val="dk1"/>
            </a:solidFill>
            <a:effectLst/>
            <a:latin typeface="+mn-lt"/>
            <a:ea typeface="+mn-ea"/>
            <a:cs typeface="+mn-cs"/>
          </a:endParaRPr>
        </a:p>
        <a:p>
          <a:pPr rtl="0" fontAlgn="base"/>
          <a:endParaRPr lang="en-US" sz="2800"/>
        </a:p>
      </xdr:txBody>
    </xdr:sp>
    <xdr:clientData/>
  </xdr:twoCellAnchor>
  <xdr:twoCellAnchor>
    <xdr:from>
      <xdr:col>10</xdr:col>
      <xdr:colOff>322238</xdr:colOff>
      <xdr:row>22</xdr:row>
      <xdr:rowOff>142165</xdr:rowOff>
    </xdr:from>
    <xdr:to>
      <xdr:col>17</xdr:col>
      <xdr:colOff>104253</xdr:colOff>
      <xdr:row>38</xdr:row>
      <xdr:rowOff>28813</xdr:rowOff>
    </xdr:to>
    <xdr:sp macro="" textlink="">
      <xdr:nvSpPr>
        <xdr:cNvPr id="5" name="TextBox 4">
          <a:extLst>
            <a:ext uri="{FF2B5EF4-FFF2-40B4-BE49-F238E27FC236}">
              <a16:creationId xmlns:a16="http://schemas.microsoft.com/office/drawing/2014/main" id="{A495BBA2-4BAF-5647-B5B7-B3088D00B3A2}"/>
            </a:ext>
          </a:extLst>
        </xdr:cNvPr>
        <xdr:cNvSpPr txBox="1"/>
      </xdr:nvSpPr>
      <xdr:spPr>
        <a:xfrm>
          <a:off x="8567760" y="4312314"/>
          <a:ext cx="5553881" cy="29194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	      Key Risks Flagged </a:t>
          </a:r>
        </a:p>
        <a:p>
          <a:pPr rtl="0" fontAlgn="base"/>
          <a:r>
            <a:rPr lang="en-CA" sz="1800" b="0" i="0" u="none" strike="noStrike">
              <a:solidFill>
                <a:schemeClr val="dk1"/>
              </a:solidFill>
              <a:effectLst/>
              <a:latin typeface="+mn-lt"/>
              <a:ea typeface="+mn-ea"/>
              <a:cs typeface="+mn-cs"/>
            </a:rPr>
            <a:t>- Several “final” versions requiring confirmation of authoritative source</a:t>
          </a:r>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Orphan files with no clear owner </a:t>
          </a:r>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Transitory materials mixed into operational folders</a:t>
          </a:r>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Inconsistent naming conventions and duplicate exports impacting version control</a:t>
          </a:r>
          <a:endParaRPr lang="en-CA" sz="1800" b="1" i="0" u="none" strike="noStrike">
            <a:solidFill>
              <a:schemeClr val="dk1"/>
            </a:solidFill>
            <a:effectLst/>
            <a:latin typeface="+mn-lt"/>
            <a:ea typeface="+mn-ea"/>
            <a:cs typeface="+mn-cs"/>
          </a:endParaRPr>
        </a:p>
        <a:p>
          <a:pPr rtl="0" fontAlgn="base"/>
          <a:endParaRPr lang="en-US" sz="2800"/>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468FDC6-0A75-DB45-ABB4-5CE651E2DE0C}" name="tbl_inventory" displayName="tbl_inventory" ref="A1:V150" totalsRowShown="0">
  <autoFilter ref="A1:V150" xr:uid="{E468FDC6-0A75-DB45-ABB4-5CE651E2DE0C}"/>
  <tableColumns count="22">
    <tableColumn id="1" xr3:uid="{FC10DFB2-EE3C-5346-BF3A-6748CFCB2AB5}" name="File_ID"/>
    <tableColumn id="2" xr3:uid="{601E083E-9B5D-BB41-828D-8198CFFD060A}" name="Current_File_Name"/>
    <tableColumn id="3" xr3:uid="{DCBEA761-6ED4-2F49-972D-9541FE7B0CAA}" name="Proposed_File_Name" dataDxfId="29">
      <calculatedColumnFormula>SUBSTITUTE(_xlfn.TEXTJOIN("_", TRUE, G2, H2, SUBSTITUTE(I2, " ", ""), TEXT(L2, "yyyy-mm-dd"), M2), " ", "")</calculatedColumnFormula>
    </tableColumn>
    <tableColumn id="4" xr3:uid="{CE062DE5-ECB9-1942-9BDE-DAB0FAEB4912}" name="Current_File_Path"/>
    <tableColumn id="23" xr3:uid="{D90BB7D2-53AA-2E45-83E5-0CCF0DB87F10}" name="Owners"/>
    <tableColumn id="5" xr3:uid="{83B9B7CB-2066-4443-B682-12794B585655}" name="Business_Area"/>
    <tableColumn id="6" xr3:uid="{96650EC3-B14C-C24E-84C3-15BB2B5F1078}" name="File_Type"/>
    <tableColumn id="7" xr3:uid="{28588A71-AAF2-E043-A2DF-DD750834D243}" name="Record_Type"/>
    <tableColumn id="8" xr3:uid="{AAF577CC-7868-5E44-A227-D37AC11AC161}" name="Dataset_Source"/>
    <tableColumn id="9" xr3:uid="{1B32DB34-DF60-2F43-BC08-70DB0F0A8865}" name="Contains_PII"/>
    <tableColumn id="10" xr3:uid="{F0A265EF-9812-FD4F-9E68-DA68A7A7D230}" name="Sensitivity_Level"/>
    <tableColumn id="11" xr3:uid="{5F65DF59-31AD-914A-917B-43720997BD5B}" name="Last_Modified_Date"/>
    <tableColumn id="12" xr3:uid="{65C97BB8-D1A6-6241-BD84-B4CD8F8F6F8A}" name="Version_Status"/>
    <tableColumn id="13" xr3:uid="{2F06EFFB-507D-244F-9F4D-DEF592865814}" name="Duplicate_Group_ID"/>
    <tableColumn id="14" xr3:uid="{F37A88D6-32D1-6945-B8F4-FCC1962759B4}" name="Duplicate_Flag"/>
    <tableColumn id="15" xr3:uid="{30FC1F56-BBC5-E249-A096-7CB322A82581}" name="Orphan_Flag"/>
    <tableColumn id="16" xr3:uid="{8CF7D5A3-63E9-7D43-9087-CACA382427A2}" name="Outdated_Draft_Flag"/>
    <tableColumn id="17" xr3:uid="{FCB74026-A815-7A46-94D2-2EE5FB0AB104}" name="Transitory_Flag"/>
    <tableColumn id="18" xr3:uid="{14618185-FA9A-BE4A-B248-148DD67D6C61}" name="Retention_Recommendation"/>
    <tableColumn id="19" xr3:uid="{107E4AE1-E885-CF48-A35A-A0939EF5C280}" name="Disposition_Status"/>
    <tableColumn id="20" xr3:uid="{DF2961F4-0344-874B-8DAD-015740FE1954}" name="Next_Steps"/>
    <tableColumn id="21" xr3:uid="{066C1910-BDFD-934E-8016-53A23FD7F674}"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FE2F93-AACC-284D-B5DA-2E55FE57FBFD}" name="Inventory_Staged_Final" displayName="Inventory_Staged_Final" ref="A1:V150" totalsRowShown="0">
  <autoFilter ref="A1:V150" xr:uid="{AAFE2F93-AACC-284D-B5DA-2E55FE57FBFD}"/>
  <tableColumns count="22">
    <tableColumn id="1" xr3:uid="{93A684F3-23B5-5D4F-A410-8A39B4A32D7D}" name="File_ID"/>
    <tableColumn id="2" xr3:uid="{8D77941C-3B7C-7D49-85D6-F81CF01F3ED9}" name="Current_File_Name"/>
    <tableColumn id="3" xr3:uid="{7FDC3694-8EAB-B24B-AF81-5EE8852D769A}" name="Proposed_File_Name"/>
    <tableColumn id="4" xr3:uid="{AD642504-0FC4-DA41-B7E8-8E8E715BC310}" name="Current_File_Path"/>
    <tableColumn id="5" xr3:uid="{70E5605B-7876-5E4A-BF6C-250163934AE1}" name="Owners"/>
    <tableColumn id="6" xr3:uid="{09A8A3DD-DDD4-4F45-B99F-25F36A984B9E}" name="Business_Area"/>
    <tableColumn id="7" xr3:uid="{37F8F350-8EEB-EA44-B77F-40D68404AF48}" name="File_Type"/>
    <tableColumn id="8" xr3:uid="{FF1E52EF-F684-E643-AABF-3BCAE5100600}" name="Record_Type"/>
    <tableColumn id="9" xr3:uid="{FE73C264-D353-4A43-8A08-5817531D81FD}" name="Dataset_Source"/>
    <tableColumn id="10" xr3:uid="{170F0358-8928-464C-9C34-267DF9C82DEA}" name="Contains_PII"/>
    <tableColumn id="11" xr3:uid="{B655F764-E6DB-844D-8FE4-7B49CCBD9418}" name="Sensitivity_Level"/>
    <tableColumn id="12" xr3:uid="{AB4CFCA2-ABD9-AF48-A282-BCE494A05543}" name="Last_Modified_Date" dataDxfId="28"/>
    <tableColumn id="13" xr3:uid="{8F2C45F9-3995-A247-B5F7-0311B0F7936F}" name="Version_Status"/>
    <tableColumn id="14" xr3:uid="{DC760CE0-CFC3-C04B-8464-217C520E6A53}" name="Duplicate_Group_ID"/>
    <tableColumn id="15" xr3:uid="{43F8F8E6-F2E9-9C4D-A732-EB0B13C25D41}" name="Duplicate_Flag"/>
    <tableColumn id="16" xr3:uid="{1E0BC5EB-F52A-4F4D-A82F-C6A2E1074C33}" name="Orphan_Flag"/>
    <tableColumn id="17" xr3:uid="{1C9656E4-DF13-CA4A-B9DA-5A7862425596}" name="Outdated_Draft_Flag"/>
    <tableColumn id="18" xr3:uid="{8A2BFFBA-EB66-5940-BC2D-BE63B3A9DD27}" name="Transitory_Flag"/>
    <tableColumn id="19" xr3:uid="{7F1B3FC0-789F-5246-BAC2-8A0CE8548D86}" name="Retention_Recommendation"/>
    <tableColumn id="20" xr3:uid="{34508B88-4BAD-4344-B90D-C7C2EDBEE8D7}" name="Disposition_Status"/>
    <tableColumn id="21" xr3:uid="{55FAA071-BCED-E644-A509-ADB4CD3409EC}" name="Next_Steps"/>
    <tableColumn id="22" xr3:uid="{ACD26F3F-2ADC-C740-BE3B-40EE8CE05C83}"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68B7BEE-8263-C643-AA96-D13716DE4EC4}" name="tblRenaming" displayName="tblRenaming" ref="A1:F13" totalsRowShown="0">
  <autoFilter ref="A1:F13" xr:uid="{868B7BEE-8263-C643-AA96-D13716DE4EC4}"/>
  <tableColumns count="6">
    <tableColumn id="1" xr3:uid="{B675D744-9578-5F41-A748-B2C349312A4D}" name="Rule_ID"/>
    <tableColumn id="2" xr3:uid="{111EE2B6-2BEC-0349-BC34-DF3DAFCAF364}" name="Rule_Type"/>
    <tableColumn id="3" xr3:uid="{B340F4BF-92DE-794A-93B8-F77043FDAD6A}" name="Rule_Description"/>
    <tableColumn id="4" xr3:uid="{F2E0C575-38B7-6B4C-AD80-7544D1FEAB16}" name="Example_Before"/>
    <tableColumn id="5" xr3:uid="{6F3DB748-68AF-3748-A60B-2D56D30D6718}" name="Example_After"/>
    <tableColumn id="6" xr3:uid="{33D2E032-56E0-9843-B95E-BB6E06B15309}"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FC66D2C-497E-214F-A332-1C6A142D497A}" name="tblAllowedBusiness" displayName="tblAllowedBusiness" ref="A16:A23" totalsRowShown="0">
  <autoFilter ref="A16:A23" xr:uid="{7FC66D2C-497E-214F-A332-1C6A142D497A}"/>
  <tableColumns count="1">
    <tableColumn id="1" xr3:uid="{9F9871C9-B63C-9B43-952D-690BFC3A9CBD}" name="Business_Area_Valu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B198188-9AF3-8D49-BEC4-A8CF3E7B2460}" name="tblAllowedVersion" displayName="tblAllowedVersion" ref="C16:C20" totalsRowShown="0">
  <autoFilter ref="C16:C20" xr:uid="{8B198188-9AF3-8D49-BEC4-A8CF3E7B2460}"/>
  <tableColumns count="1">
    <tableColumn id="1" xr3:uid="{23DE0301-BE0A-344D-820D-865E839BD602}" name="Version_Val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328DE87-CE70-B140-A261-7BAB61716315}" name="TblDispositon" displayName="TblDispositon" ref="A1:M27" totalsRowCount="1">
  <autoFilter ref="A1:M26" xr:uid="{5328DE87-CE70-B140-A261-7BAB61716315}"/>
  <sortState xmlns:xlrd2="http://schemas.microsoft.com/office/spreadsheetml/2017/richdata2" ref="A2:M25">
    <sortCondition ref="A1:A25"/>
  </sortState>
  <tableColumns count="13">
    <tableColumn id="1" xr3:uid="{AB6DD0E0-D840-2D43-BDA1-EAF5ECB0B5AA}" name="Disposition_ID"/>
    <tableColumn id="2" xr3:uid="{22F42D3C-F2C3-044E-943F-CF1F0F8A7273}" name="File_ID"/>
    <tableColumn id="3" xr3:uid="{5CCF93EF-A937-994F-BDDC-8511E5FC1BBB}" name="Current_File_Path" dataDxfId="27">
      <calculatedColumnFormula>_xlfn.XLOOKUP(TblDispositon[[#This Row],[File_ID]], tbl_inventory[File_ID], tbl_inventory[Current_File_Path], "")</calculatedColumnFormula>
    </tableColumn>
    <tableColumn id="4" xr3:uid="{D8245D2B-E3B7-B241-A643-62F031A1E4E5}" name="Current_File_Name" dataDxfId="26">
      <calculatedColumnFormula>_xlfn.XLOOKUP(TblDispositon[[#This Row],[File_ID]],tbl_inventory[File_ID], tbl_inventory[Current_File_Name], "")</calculatedColumnFormula>
    </tableColumn>
    <tableColumn id="8" xr3:uid="{D7B4C84E-A4F7-1244-A0BF-435FBE57F269}" name="Contains_PII" dataDxfId="25">
      <calculatedColumnFormula>_xlfn.XLOOKUP(TblDispositon[[#This Row],[File_ID]],tbl_inventory[File_ID], tbl_inventory[Contains_PII], "")</calculatedColumnFormula>
    </tableColumn>
    <tableColumn id="5" xr3:uid="{1827496F-D352-094F-B46C-4F01DDFAAFFD}" name="Owner" dataDxfId="24">
      <calculatedColumnFormula>_xlfn.XLOOKUP(TblDispositon[[#This Row],[File_ID]],tbl_inventory[File_ID], tbl_inventory[Owners], )</calculatedColumnFormula>
    </tableColumn>
    <tableColumn id="6" xr3:uid="{37125F5D-508C-2644-87F3-8A825FCECF72}" name="Issue_Type"/>
    <tableColumn id="7" xr3:uid="{3D6FBF4E-4F4A-9C49-96BF-850497A9397B}" name="Retention_Recommendation" dataDxfId="23">
      <calculatedColumnFormula>_xlfn.XLOOKUP(TblDispositon[[#This Row],[File_ID]],tbl_inventory[File_ID], tbl_inventory[Retention_Recommendation], "")</calculatedColumnFormula>
    </tableColumn>
    <tableColumn id="9" xr3:uid="{94BED89A-0E2F-3C4C-A721-7E86FACD7C47}" name="Disposition_Status" dataDxfId="22">
      <calculatedColumnFormula>_xlfn.XLOOKUP(TblDispositon[[#This Row],[File_ID]],tbl_inventory[File_ID], tbl_inventory[Disposition_Status], "")</calculatedColumnFormula>
    </tableColumn>
    <tableColumn id="10" xr3:uid="{D0E0B542-7D27-044D-9989-7BFB2B8A6E88}" name="Rationale" dataDxfId="21">
      <calculatedColumnFormula>_xlfn.XLOOKUP(TblDispositon[[#This Row],[File_ID]],tbl_deadup[File_ID], tbl_deadup[Rationale], "")</calculatedColumnFormula>
    </tableColumn>
    <tableColumn id="11" xr3:uid="{ABED34B5-AE81-0E46-9744-1ABD9B5498A7}" name="Approval_Required" dataDxfId="20">
      <calculatedColumnFormula>_xlfn.XLOOKUP(TblDispositon[[#This Row],[File_ID]],tbl_deadup[File_ID], tbl_deadup[Approval_Required], "")</calculatedColumnFormula>
    </tableColumn>
    <tableColumn id="12" xr3:uid="{9E6B1329-4222-BD44-97A1-69520FECBDE2}" name="Approved_By"/>
    <tableColumn id="13" xr3:uid="{2D59AAF8-28E3-674E-ADB3-846292C9EC02}" name="Next_Steps" dataDxfId="19">
      <calculatedColumnFormula>_xlfn.XLOOKUP(TblDispositon[[#This Row],[File_ID]],tbl_inventory[File_ID], tbl_inventory[Next_Steps], "")</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0C11896-B06A-0644-B2FD-5D0ACAD47676}" name="tbl_deadup" displayName="tbl_deadup" ref="A1:L22" totalsRowShown="0">
  <autoFilter ref="A1:L22" xr:uid="{A0C11896-B06A-0644-B2FD-5D0ACAD47676}"/>
  <sortState xmlns:xlrd2="http://schemas.microsoft.com/office/spreadsheetml/2017/richdata2" ref="A2:L22">
    <sortCondition ref="A1:A22"/>
  </sortState>
  <tableColumns count="12">
    <tableColumn id="1" xr3:uid="{0B1E4442-2CD5-CE46-995F-BB4C85DDD018}" name="Duplicate_Group"/>
    <tableColumn id="2" xr3:uid="{1B1D2872-12C1-F542-A36E-331F6268C947}" name="File_ID"/>
    <tableColumn id="3" xr3:uid="{C51F328E-13C8-4247-9A1C-5483968EF67A}" name="Current_File_Name"/>
    <tableColumn id="4" xr3:uid="{C5F51AAA-A190-084F-BA39-4D62F93E1D89}" name="Owner" dataDxfId="18">
      <calculatedColumnFormula>_xlfn.XLOOKUP(tbl_deadup[[#This Row],[File_ID]],tbl_inventory[File_ID], tbl_inventory[Owners], "")</calculatedColumnFormula>
    </tableColumn>
    <tableColumn id="5" xr3:uid="{BCA86654-F918-3D48-80FF-92D3DD4F8DAB}" name="Last_Modified_Date" dataDxfId="17">
      <calculatedColumnFormula>_xlfn.XLOOKUP(tbl_deadup[[#This Row],[File_ID]],tbl_inventory[File_ID], tbl_inventory[Last_Modified_Date], "")</calculatedColumnFormula>
    </tableColumn>
    <tableColumn id="6" xr3:uid="{66DD353D-F502-6741-9739-4E239D529A8F}" name="Version_Status" dataDxfId="16">
      <calculatedColumnFormula>_xlfn.XLOOKUP(tbl_deadup[[#This Row],[File_ID]],tbl_inventory[File_ID], tbl_inventory[Version_Status], "")</calculatedColumnFormula>
    </tableColumn>
    <tableColumn id="7" xr3:uid="{71F7F3B6-06E0-4C46-8BB5-402C28E14DD1}" name="Keep_or_Dispose"/>
    <tableColumn id="8" xr3:uid="{6031D94F-0F24-6B47-B3A7-1AD5C5EA30F8}" name="Rationale"/>
    <tableColumn id="9" xr3:uid="{8670E638-FEBE-4042-BDDB-1A4F0274F44C}" name="Approval_Required"/>
    <tableColumn id="10" xr3:uid="{AEC50A64-E8A5-6B48-8DE1-48101A8F165D}" name="Approval_Status"/>
    <tableColumn id="11" xr3:uid="{742EC2CC-3707-8D41-BB3E-60222DD52C63}" name="Approved_By"/>
    <tableColumn id="12" xr3:uid="{B2A53322-F29C-2446-9909-BF0912C76528}" name="Notes" dataDxfId="15">
      <calculatedColumnFormula>_xlfn.XLOOKUP(tbl_deadup[[#This Row],[File_ID]],tbl_inventory[File_ID], tbl_inventory[Notes], "")</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DF2AA33-6D8C-D546-9F9F-D49EB8481A34}" name="tblTagging" displayName="tblTagging" ref="A1:F28" totalsRowShown="0">
  <autoFilter ref="A1:F28" xr:uid="{2DF2AA33-6D8C-D546-9F9F-D49EB8481A34}"/>
  <tableColumns count="6">
    <tableColumn id="1" xr3:uid="{F5D64BE4-EAEA-0148-B409-A70D20252C88}" name="Tag_Category"/>
    <tableColumn id="2" xr3:uid="{73528AC4-855B-8848-97A5-6AA2052B0179}" name="Tag_Value"/>
    <tableColumn id="3" xr3:uid="{60E303D2-20E5-1C40-A1C4-001F98714AF1}" name="Definition"/>
    <tableColumn id="4" xr3:uid="{F9832DB9-9418-FF4C-9DB9-875C5ACC842A}" name="When_To_Apply"/>
    <tableColumn id="5" xr3:uid="{A333E8EB-4AAA-D54B-BA28-C373CF0683B6}" name="Example_File"/>
    <tableColumn id="6" xr3:uid="{604369EE-571D-724E-9EA8-E864AA5A16CB}" name="Note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C81D2BA-9F67-F145-A4F7-91C34FF895D8}" name="tblSharePoint" displayName="tblSharePoint" ref="A1:L40" totalsRowShown="0">
  <autoFilter ref="A1:L40" xr:uid="{6C81D2BA-9F67-F145-A4F7-91C34FF895D8}">
    <filterColumn colId="9">
      <filters>
        <filter val="No"/>
      </filters>
    </filterColumn>
  </autoFilter>
  <tableColumns count="12">
    <tableColumn id="1" xr3:uid="{D1D83BE3-E0F9-B94A-918E-A663F8C1DD67}" name="File_ID"/>
    <tableColumn id="2" xr3:uid="{6F4C0C4C-A099-CC48-90A0-E5C5D8C5E37E}" name="Proposed_File_Name" dataDxfId="14">
      <calculatedColumnFormula>_xlfn.XLOOKUP(tblSharePoint[[#This Row],[File_ID]], tbl_inventory[File_ID], tbl_inventory[Proposed_File_Name], " ")</calculatedColumnFormula>
    </tableColumn>
    <tableColumn id="12" xr3:uid="{7FD59080-C073-E24D-968A-CA59A70FE612}" name="Owner" dataDxfId="13">
      <calculatedColumnFormula>_xlfn.XLOOKUP(tblSharePoint[[#This Row],[File_ID]], tbl_inventory[File_ID], tbl_inventory[Owners], " ")</calculatedColumnFormula>
    </tableColumn>
    <tableColumn id="3" xr3:uid="{578C29A9-015E-0E40-B712-EA8605E17363}" name="Business_Area" dataDxfId="12">
      <calculatedColumnFormula>_xlfn.XLOOKUP(tblSharePoint[[#This Row],[File_ID]], tbl_inventory[File_ID], tbl_inventory[Business_Area], " ")</calculatedColumnFormula>
    </tableColumn>
    <tableColumn id="4" xr3:uid="{74C8CC5C-E470-4048-87C9-A751435DB1A6}" name="Record_Type" dataDxfId="11">
      <calculatedColumnFormula>_xlfn.XLOOKUP(tblSharePoint[[#This Row],[File_ID]], tbl_inventory[File_ID], tbl_inventory[Record_Type], " ")</calculatedColumnFormula>
    </tableColumn>
    <tableColumn id="5" xr3:uid="{33215104-8122-404E-AA05-D20FE70D5239}" name="Sensitivity_Level" dataDxfId="10">
      <calculatedColumnFormula>_xlfn.XLOOKUP(tblSharePoint[[#This Row],[File_ID]], tbl_inventory[File_ID], tbl_inventory[Sensitivity_Level], " ")</calculatedColumnFormula>
    </tableColumn>
    <tableColumn id="6" xr3:uid="{594C8BEA-D0F2-654F-84AD-25ADF9248C32}" name="Version_Status" dataDxfId="9">
      <calculatedColumnFormula>_xlfn.XLOOKUP(tblSharePoint[[#This Row],[File_ID]], tbl_inventory[File_ID], tbl_inventory[Version_Status], " ")</calculatedColumnFormula>
    </tableColumn>
    <tableColumn id="7" xr3:uid="{C0752B43-1F44-E24B-9EEE-9C89C658C1A7}" name="Retention_Recommendation" dataDxfId="8">
      <calculatedColumnFormula>_xlfn.XLOOKUP(tblSharePoint[[#This Row],[File_ID]], tbl_inventory[File_ID], tbl_inventory[Retention_Recommendation], " ")</calculatedColumnFormula>
    </tableColumn>
    <tableColumn id="8" xr3:uid="{D53F540A-1370-8941-BE4E-F349A3CFC09A}" name="Disposition_Status" dataDxfId="7">
      <calculatedColumnFormula>_xlfn.XLOOKUP(tblSharePoint[[#This Row],[File_ID]], tbl_inventory[File_ID], tbl_inventory[Disposition_Status], " ")</calculatedColumnFormula>
    </tableColumn>
    <tableColumn id="9" xr3:uid="{222DCDE1-B60C-F444-9723-5448C44E323C}" name="Migration_Ready" dataDxfId="6">
      <calculatedColumnFormula>IF(AND(TRIM(H2)="Keep",TRIM(I2)&lt;&gt;"Pending Owner"),"Yes","No")</calculatedColumnFormula>
    </tableColumn>
    <tableColumn id="10" xr3:uid="{33C64065-85D3-424D-91BB-5D1CAE926D17}" name="Tags" dataDxfId="5">
      <calculatedColumnFormula>_xlfn.TEXTJOIN(", ",TRUE,
D2,
E2,
F2,
IF(G2="Superseded","Superseded",""),
IF(H2="Dispose","Dispose",""),
IF(I2="Pending Owner","Orphan/PendingOwner",""),
IF(J2="Yes","MigrationReady","NotReady")
)</calculatedColumnFormula>
    </tableColumn>
    <tableColumn id="11" xr3:uid="{30196189-E32E-634A-BFB3-F3F88ACF26D6}" name="Note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DB642FE-7944-C042-8174-E1DAA69C69AF}" name="SP_MIgration_Final" displayName="SP_MIgration_Final" ref="A1:L40" totalsRowShown="0">
  <autoFilter ref="A1:L40" xr:uid="{CDB642FE-7944-C042-8174-E1DAA69C69AF}"/>
  <tableColumns count="12">
    <tableColumn id="1" xr3:uid="{D0CC52E9-D2E0-8144-A1FF-F44291D61162}" name="File_ID"/>
    <tableColumn id="2" xr3:uid="{C8EADDD0-0494-604D-A399-7F51E674F5FF}" name="Proposed_File_Name"/>
    <tableColumn id="3" xr3:uid="{40DE92DD-A902-1241-A016-1731181C9AC5}" name="Owner"/>
    <tableColumn id="4" xr3:uid="{D695621E-0EBD-5B45-9307-E7F1ECED72C1}" name="Business_Area"/>
    <tableColumn id="5" xr3:uid="{ED4C8FFC-E5B9-4E41-8B01-514BC86A8EFE}" name="Record_Type"/>
    <tableColumn id="6" xr3:uid="{A9228677-CB6A-2B4E-AE0B-E4397945670D}" name="Sensitivity_Level"/>
    <tableColumn id="7" xr3:uid="{5289FC5A-32B3-4E41-B4C4-CC57A0B4A14C}" name="Version_Status"/>
    <tableColumn id="8" xr3:uid="{B6DD1EC9-8B5F-084A-9A1B-61803D795D5A}" name="Retention_Recommendation"/>
    <tableColumn id="9" xr3:uid="{887FE221-602A-C248-8B9A-6EEC7D2EDCA9}" name="Disposition_Status"/>
    <tableColumn id="10" xr3:uid="{967DA01A-5FB5-F44A-ABAF-D0038870AE97}" name="Migration_Ready"/>
    <tableColumn id="11" xr3:uid="{2319CB8F-DA51-CF49-8648-5DDC4CEEFEE7}" name="Tags"/>
    <tableColumn id="12" xr3:uid="{79A75B0F-CACB-BA4E-ACF0-9C6EB0EE1848}" name="Not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65477AF-5A90-A34E-97C7-3B709DF187B1}" name="Table14" displayName="Table14" ref="A9:K12" totalsRowShown="0">
  <autoFilter ref="A9:K12" xr:uid="{965477AF-5A90-A34E-97C7-3B709DF187B1}"/>
  <tableColumns count="11">
    <tableColumn id="1" xr3:uid="{B4D630EA-E7B9-E343-A69D-F526B9B14916}" name="Week_Ending"/>
    <tableColumn id="2" xr3:uid="{E096D0D3-D174-D241-ABE9-5E163C914AE3}" name="Files_Reviewed"/>
    <tableColumn id="3" xr3:uid="{C31B7082-6F7C-1541-B5D7-6E0E91B5BBEF}" name="Files_Kept"/>
    <tableColumn id="4" xr3:uid="{593CAE6A-F12F-384A-8571-6BF2851B433F}" name="Files_to_Dispose "/>
    <tableColumn id="5" xr3:uid="{AE8CD27B-70DF-3A4A-BDAA-B70F6AADCDA9}" name="Duplicate_Groups_Found"/>
    <tableColumn id="6" xr3:uid="{336E44F5-1371-FA47-9617-986E1512B7AE}" name="Duplicate_Groups_Resolved"/>
    <tableColumn id="7" xr3:uid="{73AB56C7-1201-484A-A60E-4FD8B65DF672}" name="Orphan_Flagged_Files"/>
    <tableColumn id="8" xr3:uid="{8D5888A4-0205-B848-9337-1C1A17CA6D7C}" name="Pending_Owner"/>
    <tableColumn id="9" xr3:uid="{D62FD996-CFA0-9E4F-AB60-10BD3B2D1A51}" name="Pending_Approval"/>
    <tableColumn id="10" xr3:uid="{92B1F0C3-1B35-B343-8B9A-1C510640465A}" name="Key_Risk_Issues" dataDxfId="4"/>
    <tableColumn id="11" xr3:uid="{D338B7C3-EB84-C140-8E7D-85C569AB4499}" name="Next_Week_Agenda"/>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F5F67-24EA-D945-810D-386F7ACD41BC}">
  <dimension ref="A1:L38"/>
  <sheetViews>
    <sheetView showGridLines="0" zoomScaleNormal="100" workbookViewId="0">
      <selection activeCell="A27" sqref="A27"/>
    </sheetView>
  </sheetViews>
  <sheetFormatPr baseColWidth="10" defaultRowHeight="15" x14ac:dyDescent="0.2"/>
  <cols>
    <col min="1" max="1" width="56.33203125" customWidth="1"/>
  </cols>
  <sheetData>
    <row r="1" spans="1:7" ht="37" x14ac:dyDescent="0.45">
      <c r="A1" s="8"/>
      <c r="B1" s="14"/>
      <c r="C1" s="14"/>
      <c r="D1" s="14"/>
      <c r="E1" s="14"/>
    </row>
    <row r="3" spans="1:7" ht="37" x14ac:dyDescent="0.45">
      <c r="A3" s="11" t="s">
        <v>543</v>
      </c>
    </row>
    <row r="4" spans="1:7" ht="29" x14ac:dyDescent="0.35">
      <c r="A4" s="7" t="s">
        <v>907</v>
      </c>
    </row>
    <row r="5" spans="1:7" ht="31" x14ac:dyDescent="0.35">
      <c r="A5" s="10" t="s">
        <v>542</v>
      </c>
    </row>
    <row r="6" spans="1:7" ht="31" x14ac:dyDescent="0.35">
      <c r="A6" s="10"/>
    </row>
    <row r="8" spans="1:7" x14ac:dyDescent="0.2">
      <c r="A8" s="1"/>
      <c r="B8" s="1"/>
      <c r="C8" s="1"/>
      <c r="D8" s="1"/>
      <c r="E8" s="1"/>
      <c r="F8" s="1"/>
      <c r="G8" s="1"/>
    </row>
    <row r="9" spans="1:7" x14ac:dyDescent="0.2">
      <c r="A9" s="1"/>
      <c r="B9" s="1"/>
      <c r="C9" s="1"/>
      <c r="D9" s="1"/>
      <c r="E9" s="1"/>
      <c r="F9" s="1"/>
      <c r="G9" s="1"/>
    </row>
    <row r="10" spans="1:7" x14ac:dyDescent="0.2">
      <c r="A10" s="1"/>
      <c r="B10" s="1"/>
      <c r="C10" s="1"/>
      <c r="D10" s="1"/>
      <c r="E10" s="1"/>
      <c r="F10" s="1"/>
      <c r="G10" s="1"/>
    </row>
    <row r="11" spans="1:7" x14ac:dyDescent="0.2">
      <c r="A11" s="1"/>
      <c r="B11" s="1"/>
      <c r="C11" s="1"/>
      <c r="D11" s="1"/>
      <c r="E11" s="1"/>
      <c r="F11" s="1"/>
      <c r="G11" s="1"/>
    </row>
    <row r="12" spans="1:7" x14ac:dyDescent="0.2">
      <c r="A12" s="1"/>
      <c r="B12" s="1"/>
      <c r="C12" s="1"/>
      <c r="D12" s="1"/>
      <c r="E12" s="1"/>
      <c r="F12" s="1"/>
      <c r="G12" s="1"/>
    </row>
    <row r="13" spans="1:7" x14ac:dyDescent="0.2">
      <c r="A13" s="1"/>
      <c r="B13" s="1"/>
      <c r="C13" s="1"/>
      <c r="D13" s="1"/>
      <c r="E13" s="1"/>
      <c r="F13" s="1"/>
      <c r="G13" s="1"/>
    </row>
    <row r="27" spans="1:12" x14ac:dyDescent="0.2">
      <c r="L27" s="12"/>
    </row>
    <row r="28" spans="1:12" ht="26" x14ac:dyDescent="0.3">
      <c r="A28" t="s">
        <v>544</v>
      </c>
    </row>
    <row r="38" spans="3:3" ht="47" x14ac:dyDescent="0.55000000000000004">
      <c r="C38" s="9"/>
    </row>
  </sheetData>
  <mergeCells count="1">
    <mergeCell ref="B1:E1"/>
  </mergeCells>
  <pageMargins left="0.7" right="0.7" top="0.75" bottom="0.75" header="0.3" footer="0.3"/>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7892E-2A6A-1046-87F3-6A08A87F6BD4}">
  <dimension ref="A1:I11"/>
  <sheetViews>
    <sheetView zoomScale="170" zoomScaleNormal="170" workbookViewId="0">
      <selection activeCell="G36" sqref="G36"/>
    </sheetView>
  </sheetViews>
  <sheetFormatPr baseColWidth="10" defaultRowHeight="15" x14ac:dyDescent="0.2"/>
  <cols>
    <col min="1" max="1" width="17.5" customWidth="1"/>
    <col min="3" max="3" width="11.83203125" customWidth="1"/>
    <col min="4" max="4" width="13.83203125" customWidth="1"/>
    <col min="5" max="5" width="22.83203125" customWidth="1"/>
    <col min="6" max="6" width="16.83203125" customWidth="1"/>
    <col min="7" max="7" width="19.6640625" customWidth="1"/>
    <col min="8" max="8" width="14" customWidth="1"/>
    <col min="9" max="9" width="37.1640625" bestFit="1" customWidth="1"/>
  </cols>
  <sheetData>
    <row r="1" spans="1:9" x14ac:dyDescent="0.2">
      <c r="A1" t="s">
        <v>23</v>
      </c>
      <c r="B1" t="s">
        <v>29</v>
      </c>
      <c r="C1" t="s">
        <v>35</v>
      </c>
      <c r="D1" t="s">
        <v>40</v>
      </c>
      <c r="E1" t="s">
        <v>43</v>
      </c>
      <c r="F1" t="s">
        <v>53</v>
      </c>
      <c r="G1" t="s">
        <v>320</v>
      </c>
      <c r="H1" t="s">
        <v>340</v>
      </c>
      <c r="I1" t="s">
        <v>95</v>
      </c>
    </row>
    <row r="2" spans="1:9" x14ac:dyDescent="0.2">
      <c r="A2" t="s">
        <v>39</v>
      </c>
      <c r="B2" t="s">
        <v>30</v>
      </c>
      <c r="C2" t="s">
        <v>36</v>
      </c>
      <c r="D2" t="s">
        <v>0</v>
      </c>
      <c r="E2" t="s">
        <v>44</v>
      </c>
      <c r="F2" t="s">
        <v>47</v>
      </c>
      <c r="G2" t="s">
        <v>321</v>
      </c>
      <c r="H2" t="s">
        <v>7</v>
      </c>
      <c r="I2" t="s">
        <v>659</v>
      </c>
    </row>
    <row r="3" spans="1:9" x14ac:dyDescent="0.2">
      <c r="A3" t="s">
        <v>24</v>
      </c>
      <c r="B3" t="s">
        <v>31</v>
      </c>
      <c r="C3" t="s">
        <v>37</v>
      </c>
      <c r="D3" t="s">
        <v>41</v>
      </c>
      <c r="E3" t="s">
        <v>45</v>
      </c>
      <c r="F3" t="s">
        <v>48</v>
      </c>
      <c r="G3" t="s">
        <v>322</v>
      </c>
      <c r="H3" t="s">
        <v>9</v>
      </c>
      <c r="I3" t="s">
        <v>112</v>
      </c>
    </row>
    <row r="4" spans="1:9" x14ac:dyDescent="0.2">
      <c r="A4" t="s">
        <v>25</v>
      </c>
      <c r="B4" t="s">
        <v>32</v>
      </c>
      <c r="C4" t="s">
        <v>38</v>
      </c>
      <c r="D4" t="s">
        <v>42</v>
      </c>
      <c r="E4" t="s">
        <v>46</v>
      </c>
      <c r="F4" t="s">
        <v>49</v>
      </c>
      <c r="G4" t="s">
        <v>323</v>
      </c>
      <c r="H4" t="s">
        <v>14</v>
      </c>
      <c r="I4" t="s">
        <v>663</v>
      </c>
    </row>
    <row r="5" spans="1:9" x14ac:dyDescent="0.2">
      <c r="A5" t="s">
        <v>26</v>
      </c>
      <c r="B5" t="s">
        <v>33</v>
      </c>
      <c r="F5" t="s">
        <v>50</v>
      </c>
      <c r="G5" t="s">
        <v>324</v>
      </c>
      <c r="H5" t="s">
        <v>361</v>
      </c>
      <c r="I5" t="s">
        <v>660</v>
      </c>
    </row>
    <row r="6" spans="1:9" x14ac:dyDescent="0.2">
      <c r="A6" t="s">
        <v>27</v>
      </c>
      <c r="B6" t="s">
        <v>34</v>
      </c>
      <c r="F6" t="s">
        <v>51</v>
      </c>
      <c r="G6" t="s">
        <v>325</v>
      </c>
      <c r="H6" t="s">
        <v>366</v>
      </c>
      <c r="I6" t="s">
        <v>661</v>
      </c>
    </row>
    <row r="7" spans="1:9" x14ac:dyDescent="0.2">
      <c r="A7" t="s">
        <v>28</v>
      </c>
      <c r="B7" t="s">
        <v>159</v>
      </c>
      <c r="F7" t="s">
        <v>52</v>
      </c>
      <c r="G7" t="s">
        <v>326</v>
      </c>
      <c r="H7" t="s">
        <v>12</v>
      </c>
      <c r="I7" t="s">
        <v>662</v>
      </c>
    </row>
    <row r="8" spans="1:9" x14ac:dyDescent="0.2">
      <c r="A8" t="s">
        <v>655</v>
      </c>
      <c r="G8" t="s">
        <v>257</v>
      </c>
      <c r="H8" t="s">
        <v>374</v>
      </c>
      <c r="I8" t="s">
        <v>158</v>
      </c>
    </row>
    <row r="9" spans="1:9" x14ac:dyDescent="0.2">
      <c r="H9" t="s">
        <v>378</v>
      </c>
      <c r="I9" t="s">
        <v>672</v>
      </c>
    </row>
    <row r="10" spans="1:9" x14ac:dyDescent="0.2">
      <c r="I10" t="s">
        <v>661</v>
      </c>
    </row>
    <row r="11" spans="1:9" x14ac:dyDescent="0.2">
      <c r="I11" t="s">
        <v>114</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657DF-78F1-1244-97CA-5A3614D599F4}">
  <dimension ref="A1:V150"/>
  <sheetViews>
    <sheetView showGridLines="0" showRowColHeaders="0" zoomScale="200" zoomScaleNormal="200" workbookViewId="0">
      <selection activeCell="D24" sqref="D24"/>
      <extLst>
        <ext xmlns:xlsdti="http://schemas.microsoft.com/office/spreadsheetml/2023/showDataTypeIcons" uri="{77bfe23e-c014-4d31-8a63-9c772dbf06b6}">
          <xlsdti:showDataTypeIcons visible="0"/>
        </ext>
      </extLst>
    </sheetView>
  </sheetViews>
  <sheetFormatPr baseColWidth="10" defaultRowHeight="15" x14ac:dyDescent="0.2"/>
  <cols>
    <col min="1" max="1" width="9.6640625" customWidth="1"/>
    <col min="2" max="2" width="50.6640625" customWidth="1"/>
    <col min="3" max="3" width="56.1640625" bestFit="1" customWidth="1"/>
    <col min="4" max="4" width="54.83203125" customWidth="1"/>
    <col min="5" max="5" width="37.6640625" bestFit="1" customWidth="1"/>
    <col min="6" max="6" width="17.83203125" customWidth="1"/>
    <col min="7" max="7" width="11" customWidth="1"/>
    <col min="8" max="8" width="27.33203125" bestFit="1" customWidth="1"/>
    <col min="9" max="9" width="15.6640625" customWidth="1"/>
    <col min="10" max="10" width="13.1640625" customWidth="1"/>
    <col min="11" max="11" width="16.6640625" customWidth="1"/>
    <col min="12" max="12" width="19.33203125" customWidth="1"/>
    <col min="13" max="13" width="15.1640625" customWidth="1"/>
    <col min="14" max="14" width="19.5" customWidth="1"/>
    <col min="15" max="15" width="15" customWidth="1"/>
    <col min="16" max="16" width="13.1640625" customWidth="1"/>
    <col min="17" max="17" width="20" customWidth="1"/>
    <col min="18" max="18" width="15.1640625" customWidth="1"/>
    <col min="19" max="19" width="26.6640625" customWidth="1"/>
    <col min="20" max="20" width="17.83203125" customWidth="1"/>
    <col min="21" max="21" width="44.5" customWidth="1"/>
    <col min="22" max="22" width="40.6640625" customWidth="1"/>
  </cols>
  <sheetData>
    <row r="1" spans="1:22" x14ac:dyDescent="0.2">
      <c r="A1" t="s">
        <v>2</v>
      </c>
      <c r="B1" t="s">
        <v>3</v>
      </c>
      <c r="C1" t="s">
        <v>4</v>
      </c>
      <c r="D1" t="s">
        <v>5</v>
      </c>
      <c r="E1" t="s">
        <v>95</v>
      </c>
      <c r="F1" t="s">
        <v>7</v>
      </c>
      <c r="G1" t="s">
        <v>8</v>
      </c>
      <c r="H1" t="s">
        <v>9</v>
      </c>
      <c r="I1" t="s">
        <v>10</v>
      </c>
      <c r="J1" t="s">
        <v>11</v>
      </c>
      <c r="K1" t="s">
        <v>12</v>
      </c>
      <c r="L1" t="s">
        <v>13</v>
      </c>
      <c r="M1" t="s">
        <v>14</v>
      </c>
      <c r="N1" t="s">
        <v>15</v>
      </c>
      <c r="O1" t="s">
        <v>16</v>
      </c>
      <c r="P1" t="s">
        <v>17</v>
      </c>
      <c r="Q1" t="s">
        <v>18</v>
      </c>
      <c r="R1" t="s">
        <v>19</v>
      </c>
      <c r="S1" t="s">
        <v>20</v>
      </c>
      <c r="T1" t="s">
        <v>21</v>
      </c>
      <c r="U1" t="s">
        <v>22</v>
      </c>
      <c r="V1" t="s">
        <v>1</v>
      </c>
    </row>
    <row r="2" spans="1:22" x14ac:dyDescent="0.2">
      <c r="A2" t="s">
        <v>54</v>
      </c>
      <c r="B2" t="s">
        <v>115</v>
      </c>
      <c r="C2" t="str">
        <f t="shared" ref="C2:C33" si="0">SUBSTITUTE(_xlfn.TEXTJOIN("_", TRUE, G2, H2, SUBSTITUTE(I2, " ", ""), TEXT(L2, "yyyy-mm-dd"), M2), " ", "")</f>
        <v>Excel_WorkingDataset_OntarioOpenData_2026-02-17_Draft</v>
      </c>
      <c r="D2" t="s">
        <v>116</v>
      </c>
      <c r="E2" t="s">
        <v>672</v>
      </c>
      <c r="F2" t="s">
        <v>24</v>
      </c>
      <c r="G2" t="s">
        <v>30</v>
      </c>
      <c r="H2" t="s">
        <v>121</v>
      </c>
      <c r="I2" t="s">
        <v>118</v>
      </c>
      <c r="J2" t="s">
        <v>119</v>
      </c>
      <c r="K2" t="s">
        <v>41</v>
      </c>
      <c r="L2" s="3">
        <v>46070</v>
      </c>
      <c r="M2" t="s">
        <v>36</v>
      </c>
      <c r="N2" t="s">
        <v>93</v>
      </c>
      <c r="O2" t="s">
        <v>94</v>
      </c>
      <c r="P2" t="s">
        <v>119</v>
      </c>
      <c r="Q2" t="s">
        <v>119</v>
      </c>
      <c r="R2" t="s">
        <v>119</v>
      </c>
      <c r="S2" t="s">
        <v>46</v>
      </c>
      <c r="T2" t="s">
        <v>49</v>
      </c>
      <c r="U2" t="s">
        <v>122</v>
      </c>
      <c r="V2" t="s">
        <v>123</v>
      </c>
    </row>
    <row r="3" spans="1:22" x14ac:dyDescent="0.2">
      <c r="A3" t="s">
        <v>55</v>
      </c>
      <c r="B3" t="s">
        <v>101</v>
      </c>
      <c r="C3" t="str">
        <f t="shared" si="0"/>
        <v>Excel_WorkingDataset_OntarioOpenData_2026-02-16_Draft</v>
      </c>
      <c r="D3" t="s">
        <v>116</v>
      </c>
      <c r="E3" t="s">
        <v>112</v>
      </c>
      <c r="F3" t="s">
        <v>24</v>
      </c>
      <c r="G3" t="s">
        <v>30</v>
      </c>
      <c r="H3" t="s">
        <v>121</v>
      </c>
      <c r="I3" t="s">
        <v>118</v>
      </c>
      <c r="J3" t="s">
        <v>119</v>
      </c>
      <c r="K3" t="s">
        <v>41</v>
      </c>
      <c r="L3" s="3">
        <v>46069</v>
      </c>
      <c r="M3" t="s">
        <v>36</v>
      </c>
      <c r="N3" t="s">
        <v>93</v>
      </c>
      <c r="O3" t="s">
        <v>94</v>
      </c>
      <c r="P3" t="s">
        <v>119</v>
      </c>
      <c r="Q3" t="s">
        <v>94</v>
      </c>
      <c r="R3" t="s">
        <v>119</v>
      </c>
      <c r="S3" t="s">
        <v>45</v>
      </c>
      <c r="T3" t="s">
        <v>49</v>
      </c>
      <c r="U3" t="s">
        <v>125</v>
      </c>
      <c r="V3" t="s">
        <v>126</v>
      </c>
    </row>
    <row r="4" spans="1:22" x14ac:dyDescent="0.2">
      <c r="A4" t="s">
        <v>56</v>
      </c>
      <c r="B4" t="s">
        <v>102</v>
      </c>
      <c r="C4" t="str">
        <f t="shared" si="0"/>
        <v>Excel_FinalDataset_OntarioOpenData_2026-02-17_Final</v>
      </c>
      <c r="D4" t="s">
        <v>116</v>
      </c>
      <c r="E4" t="s">
        <v>672</v>
      </c>
      <c r="F4" t="s">
        <v>24</v>
      </c>
      <c r="G4" t="s">
        <v>30</v>
      </c>
      <c r="H4" t="s">
        <v>128</v>
      </c>
      <c r="I4" t="s">
        <v>118</v>
      </c>
      <c r="J4" t="s">
        <v>119</v>
      </c>
      <c r="K4" t="s">
        <v>41</v>
      </c>
      <c r="L4" s="3">
        <v>46070</v>
      </c>
      <c r="M4" t="s">
        <v>37</v>
      </c>
      <c r="N4" t="s">
        <v>109</v>
      </c>
      <c r="O4" t="s">
        <v>94</v>
      </c>
      <c r="P4" t="s">
        <v>119</v>
      </c>
      <c r="Q4" t="s">
        <v>119</v>
      </c>
      <c r="R4" t="s">
        <v>119</v>
      </c>
      <c r="S4" t="s">
        <v>44</v>
      </c>
      <c r="T4" t="s">
        <v>47</v>
      </c>
      <c r="U4" t="s">
        <v>129</v>
      </c>
      <c r="V4" t="s">
        <v>130</v>
      </c>
    </row>
    <row r="5" spans="1:22" x14ac:dyDescent="0.2">
      <c r="A5" t="s">
        <v>57</v>
      </c>
      <c r="B5" t="s">
        <v>103</v>
      </c>
      <c r="C5" t="str">
        <f t="shared" si="0"/>
        <v>Excel_FinalDataset_OntarioOpenData_2026-02-17_Superseded</v>
      </c>
      <c r="D5" t="s">
        <v>116</v>
      </c>
      <c r="E5" t="s">
        <v>672</v>
      </c>
      <c r="F5" t="s">
        <v>24</v>
      </c>
      <c r="G5" t="s">
        <v>30</v>
      </c>
      <c r="H5" t="s">
        <v>128</v>
      </c>
      <c r="I5" t="s">
        <v>118</v>
      </c>
      <c r="J5" t="s">
        <v>119</v>
      </c>
      <c r="K5" t="s">
        <v>41</v>
      </c>
      <c r="L5" s="3">
        <v>46070</v>
      </c>
      <c r="M5" t="s">
        <v>131</v>
      </c>
      <c r="N5" t="s">
        <v>109</v>
      </c>
      <c r="O5" t="s">
        <v>94</v>
      </c>
      <c r="P5" t="s">
        <v>119</v>
      </c>
      <c r="Q5" t="s">
        <v>94</v>
      </c>
      <c r="R5" t="s">
        <v>119</v>
      </c>
      <c r="S5" t="s">
        <v>45</v>
      </c>
      <c r="T5" t="s">
        <v>49</v>
      </c>
      <c r="U5" t="s">
        <v>132</v>
      </c>
      <c r="V5" t="s">
        <v>133</v>
      </c>
    </row>
    <row r="6" spans="1:22" x14ac:dyDescent="0.2">
      <c r="A6" t="s">
        <v>58</v>
      </c>
      <c r="B6" t="s">
        <v>104</v>
      </c>
      <c r="C6" t="str">
        <f t="shared" si="0"/>
        <v>Excel_WorkingNotes_OntarioOpenData_2026-02-15_Draft</v>
      </c>
      <c r="D6" t="s">
        <v>116</v>
      </c>
      <c r="E6" t="s">
        <v>112</v>
      </c>
      <c r="F6" t="s">
        <v>24</v>
      </c>
      <c r="G6" t="s">
        <v>30</v>
      </c>
      <c r="H6" t="s">
        <v>135</v>
      </c>
      <c r="I6" t="s">
        <v>118</v>
      </c>
      <c r="J6" t="s">
        <v>119</v>
      </c>
      <c r="K6" t="s">
        <v>41</v>
      </c>
      <c r="L6" s="3">
        <v>46068</v>
      </c>
      <c r="M6" t="s">
        <v>36</v>
      </c>
      <c r="O6" t="s">
        <v>119</v>
      </c>
      <c r="P6" t="s">
        <v>119</v>
      </c>
      <c r="Q6" t="s">
        <v>119</v>
      </c>
      <c r="R6" t="s">
        <v>94</v>
      </c>
      <c r="S6" t="s">
        <v>45</v>
      </c>
      <c r="T6" t="s">
        <v>48</v>
      </c>
      <c r="U6" t="s">
        <v>339</v>
      </c>
      <c r="V6" t="s">
        <v>240</v>
      </c>
    </row>
    <row r="7" spans="1:22" x14ac:dyDescent="0.2">
      <c r="A7" t="s">
        <v>59</v>
      </c>
      <c r="B7" t="s">
        <v>105</v>
      </c>
      <c r="C7" t="str">
        <f t="shared" si="0"/>
        <v>Excel_DataQualitySupport_OntarioOpenData_2026-02-16_Final</v>
      </c>
      <c r="D7" t="s">
        <v>116</v>
      </c>
      <c r="E7" t="s">
        <v>661</v>
      </c>
      <c r="F7" t="s">
        <v>24</v>
      </c>
      <c r="G7" t="s">
        <v>30</v>
      </c>
      <c r="H7" t="s">
        <v>137</v>
      </c>
      <c r="I7" t="s">
        <v>118</v>
      </c>
      <c r="J7" t="s">
        <v>119</v>
      </c>
      <c r="K7" t="s">
        <v>41</v>
      </c>
      <c r="L7" s="3">
        <v>46069</v>
      </c>
      <c r="M7" t="s">
        <v>37</v>
      </c>
      <c r="O7" t="s">
        <v>119</v>
      </c>
      <c r="P7" t="s">
        <v>119</v>
      </c>
      <c r="Q7" t="s">
        <v>119</v>
      </c>
      <c r="R7" t="s">
        <v>119</v>
      </c>
      <c r="S7" t="s">
        <v>44</v>
      </c>
      <c r="T7" t="s">
        <v>47</v>
      </c>
      <c r="U7" t="s">
        <v>138</v>
      </c>
      <c r="V7" t="s">
        <v>330</v>
      </c>
    </row>
    <row r="8" spans="1:22" x14ac:dyDescent="0.2">
      <c r="A8" t="s">
        <v>60</v>
      </c>
      <c r="B8" t="s">
        <v>106</v>
      </c>
      <c r="C8" t="str">
        <f t="shared" si="0"/>
        <v>Excel_WorkingDataset_OntarioOpenData_2026-02-14_Draft</v>
      </c>
      <c r="D8" t="s">
        <v>116</v>
      </c>
      <c r="F8" t="s">
        <v>24</v>
      </c>
      <c r="G8" t="s">
        <v>30</v>
      </c>
      <c r="H8" t="s">
        <v>121</v>
      </c>
      <c r="I8" t="s">
        <v>118</v>
      </c>
      <c r="J8" t="s">
        <v>119</v>
      </c>
      <c r="K8" t="s">
        <v>41</v>
      </c>
      <c r="L8" s="3">
        <v>46067</v>
      </c>
      <c r="M8" t="s">
        <v>36</v>
      </c>
      <c r="N8" t="s">
        <v>93</v>
      </c>
      <c r="O8" t="s">
        <v>94</v>
      </c>
      <c r="P8" t="s">
        <v>94</v>
      </c>
      <c r="Q8" t="s">
        <v>94</v>
      </c>
      <c r="R8" t="s">
        <v>94</v>
      </c>
      <c r="S8" t="s">
        <v>45</v>
      </c>
      <c r="T8" t="s">
        <v>48</v>
      </c>
      <c r="U8" t="s">
        <v>139</v>
      </c>
      <c r="V8" t="s">
        <v>140</v>
      </c>
    </row>
    <row r="9" spans="1:22" x14ac:dyDescent="0.2">
      <c r="A9" t="s">
        <v>61</v>
      </c>
      <c r="B9" t="s">
        <v>107</v>
      </c>
      <c r="C9" t="str">
        <f t="shared" si="0"/>
        <v>Excel_MigrationExport_OntarioOpenData_2026-02-17_Draft</v>
      </c>
      <c r="D9" t="s">
        <v>116</v>
      </c>
      <c r="E9" t="s">
        <v>114</v>
      </c>
      <c r="F9" t="s">
        <v>24</v>
      </c>
      <c r="G9" t="s">
        <v>30</v>
      </c>
      <c r="H9" t="s">
        <v>142</v>
      </c>
      <c r="I9" t="s">
        <v>118</v>
      </c>
      <c r="J9" t="s">
        <v>119</v>
      </c>
      <c r="K9" t="s">
        <v>41</v>
      </c>
      <c r="L9" s="3">
        <v>46070</v>
      </c>
      <c r="M9" t="s">
        <v>36</v>
      </c>
      <c r="N9" t="s">
        <v>110</v>
      </c>
      <c r="O9" t="s">
        <v>94</v>
      </c>
      <c r="P9" t="s">
        <v>119</v>
      </c>
      <c r="Q9" t="s">
        <v>119</v>
      </c>
      <c r="R9" t="s">
        <v>119</v>
      </c>
      <c r="S9" t="s">
        <v>45</v>
      </c>
      <c r="T9" t="s">
        <v>49</v>
      </c>
      <c r="U9" t="s">
        <v>328</v>
      </c>
      <c r="V9" t="s">
        <v>338</v>
      </c>
    </row>
    <row r="10" spans="1:22" x14ac:dyDescent="0.2">
      <c r="A10" t="s">
        <v>62</v>
      </c>
      <c r="B10" t="s">
        <v>108</v>
      </c>
      <c r="C10" t="str">
        <f t="shared" si="0"/>
        <v>Excel_MigrationExport_OntarioOpenData_2026-02-17_Draft</v>
      </c>
      <c r="D10" t="s">
        <v>116</v>
      </c>
      <c r="E10" t="s">
        <v>114</v>
      </c>
      <c r="F10" t="s">
        <v>24</v>
      </c>
      <c r="G10" t="s">
        <v>30</v>
      </c>
      <c r="H10" t="s">
        <v>142</v>
      </c>
      <c r="I10" t="s">
        <v>118</v>
      </c>
      <c r="J10" t="s">
        <v>119</v>
      </c>
      <c r="K10" t="s">
        <v>41</v>
      </c>
      <c r="L10" s="3">
        <v>46070</v>
      </c>
      <c r="M10" t="s">
        <v>36</v>
      </c>
      <c r="N10" t="s">
        <v>110</v>
      </c>
      <c r="O10" t="s">
        <v>94</v>
      </c>
      <c r="P10" t="s">
        <v>119</v>
      </c>
      <c r="Q10" t="s">
        <v>119</v>
      </c>
      <c r="R10" t="s">
        <v>119</v>
      </c>
      <c r="S10" t="s">
        <v>44</v>
      </c>
      <c r="T10" t="s">
        <v>47</v>
      </c>
      <c r="U10" t="s">
        <v>327</v>
      </c>
      <c r="V10" t="s">
        <v>143</v>
      </c>
    </row>
    <row r="11" spans="1:22" x14ac:dyDescent="0.2">
      <c r="A11" t="s">
        <v>63</v>
      </c>
      <c r="B11" t="s">
        <v>144</v>
      </c>
      <c r="C11" t="str">
        <f t="shared" si="0"/>
        <v>Word_WeeklyStatusSummary_Internal_2026-02-01_Final</v>
      </c>
      <c r="D11" t="s">
        <v>146</v>
      </c>
      <c r="E11" t="s">
        <v>661</v>
      </c>
      <c r="F11" t="s">
        <v>28</v>
      </c>
      <c r="G11" t="s">
        <v>31</v>
      </c>
      <c r="H11" t="s">
        <v>147</v>
      </c>
      <c r="I11" t="s">
        <v>41</v>
      </c>
      <c r="J11" t="s">
        <v>119</v>
      </c>
      <c r="K11" t="s">
        <v>41</v>
      </c>
      <c r="L11" s="3">
        <v>46054</v>
      </c>
      <c r="M11" t="s">
        <v>37</v>
      </c>
      <c r="O11" t="s">
        <v>119</v>
      </c>
      <c r="P11" t="s">
        <v>119</v>
      </c>
      <c r="Q11" t="s">
        <v>119</v>
      </c>
      <c r="R11" t="s">
        <v>119</v>
      </c>
      <c r="S11" t="s">
        <v>44</v>
      </c>
      <c r="T11" t="s">
        <v>47</v>
      </c>
      <c r="U11" t="s">
        <v>148</v>
      </c>
      <c r="V11" t="s">
        <v>149</v>
      </c>
    </row>
    <row r="12" spans="1:22" x14ac:dyDescent="0.2">
      <c r="A12" t="s">
        <v>64</v>
      </c>
      <c r="B12" t="s">
        <v>150</v>
      </c>
      <c r="C12" t="str">
        <f t="shared" si="0"/>
        <v>Word_WeeklyStatusSummary_Internal_2026-02-08_Final</v>
      </c>
      <c r="D12" t="s">
        <v>146</v>
      </c>
      <c r="E12" t="s">
        <v>661</v>
      </c>
      <c r="F12" t="s">
        <v>28</v>
      </c>
      <c r="G12" t="s">
        <v>31</v>
      </c>
      <c r="H12" t="s">
        <v>147</v>
      </c>
      <c r="I12" t="s">
        <v>41</v>
      </c>
      <c r="J12" t="s">
        <v>119</v>
      </c>
      <c r="K12" t="s">
        <v>41</v>
      </c>
      <c r="L12" s="3">
        <v>46061</v>
      </c>
      <c r="M12" t="s">
        <v>37</v>
      </c>
      <c r="O12" t="s">
        <v>119</v>
      </c>
      <c r="P12" t="s">
        <v>119</v>
      </c>
      <c r="Q12" t="s">
        <v>119</v>
      </c>
      <c r="R12" t="s">
        <v>119</v>
      </c>
      <c r="S12" t="s">
        <v>44</v>
      </c>
      <c r="T12" t="s">
        <v>47</v>
      </c>
      <c r="U12" t="s">
        <v>148</v>
      </c>
      <c r="V12" t="s">
        <v>152</v>
      </c>
    </row>
    <row r="13" spans="1:22" x14ac:dyDescent="0.2">
      <c r="A13" t="s">
        <v>65</v>
      </c>
      <c r="B13" t="s">
        <v>153</v>
      </c>
      <c r="C13" t="str">
        <f t="shared" si="0"/>
        <v>Word_WeeklyStatusSummary_Internal_2026-02-15_Final</v>
      </c>
      <c r="D13" t="s">
        <v>146</v>
      </c>
      <c r="E13" t="s">
        <v>661</v>
      </c>
      <c r="F13" t="s">
        <v>28</v>
      </c>
      <c r="G13" t="s">
        <v>31</v>
      </c>
      <c r="H13" t="s">
        <v>147</v>
      </c>
      <c r="I13" t="s">
        <v>41</v>
      </c>
      <c r="J13" t="s">
        <v>119</v>
      </c>
      <c r="K13" t="s">
        <v>41</v>
      </c>
      <c r="L13" s="3">
        <v>46068</v>
      </c>
      <c r="M13" t="s">
        <v>37</v>
      </c>
      <c r="O13" t="s">
        <v>119</v>
      </c>
      <c r="P13" t="s">
        <v>119</v>
      </c>
      <c r="Q13" t="s">
        <v>119</v>
      </c>
      <c r="R13" t="s">
        <v>119</v>
      </c>
      <c r="S13" t="s">
        <v>44</v>
      </c>
      <c r="T13" t="s">
        <v>47</v>
      </c>
      <c r="U13" t="s">
        <v>148</v>
      </c>
      <c r="V13" t="s">
        <v>155</v>
      </c>
    </row>
    <row r="14" spans="1:22" x14ac:dyDescent="0.2">
      <c r="A14" t="s">
        <v>66</v>
      </c>
      <c r="B14" t="s">
        <v>156</v>
      </c>
      <c r="C14" t="str">
        <f t="shared" si="0"/>
        <v>PowerPoint_DashboardDeck_OntarioOpenData_2026-02-10_Draft</v>
      </c>
      <c r="D14" t="s">
        <v>146</v>
      </c>
      <c r="E14" t="s">
        <v>158</v>
      </c>
      <c r="F14" t="s">
        <v>28</v>
      </c>
      <c r="G14" t="s">
        <v>159</v>
      </c>
      <c r="H14" t="s">
        <v>160</v>
      </c>
      <c r="I14" t="s">
        <v>118</v>
      </c>
      <c r="J14" t="s">
        <v>119</v>
      </c>
      <c r="K14" t="s">
        <v>41</v>
      </c>
      <c r="L14" s="3">
        <v>46063</v>
      </c>
      <c r="M14" t="s">
        <v>36</v>
      </c>
      <c r="O14" t="s">
        <v>119</v>
      </c>
      <c r="P14" t="s">
        <v>119</v>
      </c>
      <c r="Q14" t="s">
        <v>94</v>
      </c>
      <c r="R14" t="s">
        <v>119</v>
      </c>
      <c r="S14" t="s">
        <v>46</v>
      </c>
      <c r="T14" t="s">
        <v>49</v>
      </c>
      <c r="U14" t="s">
        <v>161</v>
      </c>
      <c r="V14" t="s">
        <v>162</v>
      </c>
    </row>
    <row r="15" spans="1:22" x14ac:dyDescent="0.2">
      <c r="A15" t="s">
        <v>67</v>
      </c>
      <c r="B15" t="s">
        <v>163</v>
      </c>
      <c r="C15" t="str">
        <f t="shared" si="0"/>
        <v>PowerPoint_DashboardDeck_OntarioOpenData_2026-02-16_Final</v>
      </c>
      <c r="D15" t="s">
        <v>146</v>
      </c>
      <c r="E15" t="s">
        <v>158</v>
      </c>
      <c r="F15" t="s">
        <v>28</v>
      </c>
      <c r="G15" t="s">
        <v>159</v>
      </c>
      <c r="H15" t="s">
        <v>160</v>
      </c>
      <c r="I15" t="s">
        <v>118</v>
      </c>
      <c r="J15" t="s">
        <v>119</v>
      </c>
      <c r="K15" t="s">
        <v>41</v>
      </c>
      <c r="L15" s="3">
        <v>46069</v>
      </c>
      <c r="M15" t="s">
        <v>37</v>
      </c>
      <c r="N15" t="s">
        <v>165</v>
      </c>
      <c r="O15" t="s">
        <v>94</v>
      </c>
      <c r="P15" t="s">
        <v>119</v>
      </c>
      <c r="Q15" t="s">
        <v>119</v>
      </c>
      <c r="R15" t="s">
        <v>119</v>
      </c>
      <c r="S15" t="s">
        <v>46</v>
      </c>
      <c r="T15" t="s">
        <v>49</v>
      </c>
      <c r="U15" t="s">
        <v>169</v>
      </c>
      <c r="V15" t="s">
        <v>167</v>
      </c>
    </row>
    <row r="16" spans="1:22" x14ac:dyDescent="0.2">
      <c r="A16" t="s">
        <v>70</v>
      </c>
      <c r="B16" t="s">
        <v>168</v>
      </c>
      <c r="C16" t="str">
        <f t="shared" si="0"/>
        <v>PowerPoint_DashboardDeck_OntarioOpenData_2026-02-17_Final</v>
      </c>
      <c r="D16" t="s">
        <v>146</v>
      </c>
      <c r="E16" t="s">
        <v>158</v>
      </c>
      <c r="F16" t="s">
        <v>28</v>
      </c>
      <c r="G16" t="s">
        <v>159</v>
      </c>
      <c r="H16" t="s">
        <v>160</v>
      </c>
      <c r="I16" t="s">
        <v>118</v>
      </c>
      <c r="J16" t="s">
        <v>119</v>
      </c>
      <c r="K16" t="s">
        <v>41</v>
      </c>
      <c r="L16" s="3">
        <v>46070</v>
      </c>
      <c r="M16" t="s">
        <v>37</v>
      </c>
      <c r="N16" t="s">
        <v>165</v>
      </c>
      <c r="O16" t="s">
        <v>94</v>
      </c>
      <c r="P16" t="s">
        <v>119</v>
      </c>
      <c r="Q16" t="s">
        <v>119</v>
      </c>
      <c r="R16" t="s">
        <v>119</v>
      </c>
      <c r="S16" t="s">
        <v>44</v>
      </c>
      <c r="T16" t="s">
        <v>49</v>
      </c>
      <c r="U16" t="s">
        <v>166</v>
      </c>
      <c r="V16" t="s">
        <v>170</v>
      </c>
    </row>
    <row r="17" spans="1:22" x14ac:dyDescent="0.2">
      <c r="A17" t="s">
        <v>68</v>
      </c>
      <c r="B17" t="s">
        <v>171</v>
      </c>
      <c r="C17" t="str">
        <f t="shared" si="0"/>
        <v>Excel_SummaryTable_OntarioOpenData_2026-02-12_Draft</v>
      </c>
      <c r="D17" t="s">
        <v>146</v>
      </c>
      <c r="E17" t="s">
        <v>112</v>
      </c>
      <c r="F17" t="s">
        <v>28</v>
      </c>
      <c r="G17" t="s">
        <v>30</v>
      </c>
      <c r="H17" t="s">
        <v>173</v>
      </c>
      <c r="I17" t="s">
        <v>118</v>
      </c>
      <c r="J17" t="s">
        <v>119</v>
      </c>
      <c r="K17" t="s">
        <v>41</v>
      </c>
      <c r="L17" s="3">
        <v>46065</v>
      </c>
      <c r="M17" t="s">
        <v>36</v>
      </c>
      <c r="N17" t="s">
        <v>174</v>
      </c>
      <c r="O17" t="s">
        <v>94</v>
      </c>
      <c r="P17" t="s">
        <v>119</v>
      </c>
      <c r="Q17" t="s">
        <v>94</v>
      </c>
      <c r="R17" t="s">
        <v>119</v>
      </c>
      <c r="S17" t="s">
        <v>45</v>
      </c>
      <c r="T17" t="s">
        <v>49</v>
      </c>
      <c r="U17" t="s">
        <v>175</v>
      </c>
      <c r="V17" t="s">
        <v>176</v>
      </c>
    </row>
    <row r="18" spans="1:22" x14ac:dyDescent="0.2">
      <c r="A18" t="s">
        <v>69</v>
      </c>
      <c r="B18" t="s">
        <v>177</v>
      </c>
      <c r="C18" t="str">
        <f t="shared" si="0"/>
        <v>Excel_SummaryTable_OntarioOpenData_2026-02-16_Final</v>
      </c>
      <c r="D18" t="s">
        <v>146</v>
      </c>
      <c r="E18" t="s">
        <v>158</v>
      </c>
      <c r="F18" t="s">
        <v>28</v>
      </c>
      <c r="G18" t="s">
        <v>30</v>
      </c>
      <c r="H18" t="s">
        <v>173</v>
      </c>
      <c r="I18" t="s">
        <v>118</v>
      </c>
      <c r="J18" t="s">
        <v>119</v>
      </c>
      <c r="K18" t="s">
        <v>41</v>
      </c>
      <c r="L18" s="3">
        <v>46069</v>
      </c>
      <c r="M18" t="s">
        <v>37</v>
      </c>
      <c r="N18" t="s">
        <v>174</v>
      </c>
      <c r="O18" t="s">
        <v>94</v>
      </c>
      <c r="P18" t="s">
        <v>119</v>
      </c>
      <c r="Q18" t="s">
        <v>119</v>
      </c>
      <c r="R18" t="s">
        <v>119</v>
      </c>
      <c r="S18" t="s">
        <v>44</v>
      </c>
      <c r="T18" t="s">
        <v>47</v>
      </c>
      <c r="U18" t="s">
        <v>179</v>
      </c>
      <c r="V18" t="s">
        <v>180</v>
      </c>
    </row>
    <row r="19" spans="1:22" x14ac:dyDescent="0.2">
      <c r="A19" t="s">
        <v>71</v>
      </c>
      <c r="B19" t="s">
        <v>181</v>
      </c>
      <c r="C19" t="str">
        <f t="shared" si="0"/>
        <v>Excel_ChartDrafts_OntarioOpenData_2026-02-11_Draft</v>
      </c>
      <c r="D19" t="s">
        <v>146</v>
      </c>
      <c r="E19" t="s">
        <v>112</v>
      </c>
      <c r="F19" t="s">
        <v>28</v>
      </c>
      <c r="G19" t="s">
        <v>30</v>
      </c>
      <c r="H19" t="s">
        <v>182</v>
      </c>
      <c r="I19" t="s">
        <v>118</v>
      </c>
      <c r="J19" t="s">
        <v>119</v>
      </c>
      <c r="K19" t="s">
        <v>41</v>
      </c>
      <c r="L19" s="3">
        <v>46064</v>
      </c>
      <c r="M19" t="s">
        <v>36</v>
      </c>
      <c r="O19" t="s">
        <v>119</v>
      </c>
      <c r="P19" t="s">
        <v>119</v>
      </c>
      <c r="Q19" t="s">
        <v>119</v>
      </c>
      <c r="R19" t="s">
        <v>94</v>
      </c>
      <c r="S19" t="s">
        <v>45</v>
      </c>
      <c r="T19" t="s">
        <v>49</v>
      </c>
      <c r="U19" t="s">
        <v>183</v>
      </c>
      <c r="V19" t="s">
        <v>184</v>
      </c>
    </row>
    <row r="20" spans="1:22" x14ac:dyDescent="0.2">
      <c r="A20" t="s">
        <v>72</v>
      </c>
      <c r="B20" t="s">
        <v>185</v>
      </c>
      <c r="C20" t="str">
        <f t="shared" si="0"/>
        <v>Word_BriefingNote_OntarioOpenData_2026-02-13_Draft</v>
      </c>
      <c r="D20" t="s">
        <v>146</v>
      </c>
      <c r="E20" t="s">
        <v>158</v>
      </c>
      <c r="F20" t="s">
        <v>28</v>
      </c>
      <c r="G20" t="s">
        <v>31</v>
      </c>
      <c r="H20" t="s">
        <v>187</v>
      </c>
      <c r="I20" t="s">
        <v>118</v>
      </c>
      <c r="J20" t="s">
        <v>119</v>
      </c>
      <c r="K20" t="s">
        <v>41</v>
      </c>
      <c r="L20" s="3">
        <v>46066</v>
      </c>
      <c r="M20" t="s">
        <v>36</v>
      </c>
      <c r="O20" t="s">
        <v>119</v>
      </c>
      <c r="P20" t="s">
        <v>119</v>
      </c>
      <c r="Q20" t="s">
        <v>94</v>
      </c>
      <c r="R20" t="s">
        <v>119</v>
      </c>
      <c r="S20" t="s">
        <v>46</v>
      </c>
      <c r="T20" t="s">
        <v>49</v>
      </c>
      <c r="U20" t="s">
        <v>188</v>
      </c>
      <c r="V20" t="s">
        <v>189</v>
      </c>
    </row>
    <row r="21" spans="1:22" x14ac:dyDescent="0.2">
      <c r="A21" t="s">
        <v>73</v>
      </c>
      <c r="B21" t="s">
        <v>190</v>
      </c>
      <c r="C21" t="str">
        <f t="shared" si="0"/>
        <v>Excel_DispositionList_Intern+J21:J85al_2026-01-12_Draft</v>
      </c>
      <c r="D21" t="s">
        <v>192</v>
      </c>
      <c r="E21" t="s">
        <v>661</v>
      </c>
      <c r="F21" t="s">
        <v>25</v>
      </c>
      <c r="G21" t="s">
        <v>30</v>
      </c>
      <c r="H21" t="s">
        <v>193</v>
      </c>
      <c r="I21" t="s">
        <v>665</v>
      </c>
      <c r="J21" t="s">
        <v>119</v>
      </c>
      <c r="K21" t="s">
        <v>41</v>
      </c>
      <c r="L21" s="3">
        <v>46034</v>
      </c>
      <c r="M21" t="s">
        <v>36</v>
      </c>
      <c r="O21" t="s">
        <v>119</v>
      </c>
      <c r="P21" t="s">
        <v>119</v>
      </c>
      <c r="Q21" t="s">
        <v>94</v>
      </c>
      <c r="R21" t="s">
        <v>119</v>
      </c>
      <c r="S21" t="s">
        <v>46</v>
      </c>
      <c r="T21" t="s">
        <v>49</v>
      </c>
      <c r="U21" t="s">
        <v>194</v>
      </c>
      <c r="V21" t="s">
        <v>195</v>
      </c>
    </row>
    <row r="22" spans="1:22" x14ac:dyDescent="0.2">
      <c r="A22" t="s">
        <v>74</v>
      </c>
      <c r="B22" t="s">
        <v>196</v>
      </c>
      <c r="C22" t="str">
        <f t="shared" si="0"/>
        <v>Excel_DispositionList_Internal_2026-01-20_Final</v>
      </c>
      <c r="D22" t="s">
        <v>192</v>
      </c>
      <c r="E22" t="s">
        <v>661</v>
      </c>
      <c r="F22" t="s">
        <v>25</v>
      </c>
      <c r="G22" t="s">
        <v>30</v>
      </c>
      <c r="H22" t="s">
        <v>193</v>
      </c>
      <c r="I22" t="s">
        <v>41</v>
      </c>
      <c r="J22" t="s">
        <v>119</v>
      </c>
      <c r="K22" t="s">
        <v>41</v>
      </c>
      <c r="L22" s="3">
        <v>46042</v>
      </c>
      <c r="M22" t="s">
        <v>37</v>
      </c>
      <c r="N22" t="s">
        <v>198</v>
      </c>
      <c r="O22" t="s">
        <v>94</v>
      </c>
      <c r="P22" t="s">
        <v>119</v>
      </c>
      <c r="Q22" t="s">
        <v>119</v>
      </c>
      <c r="R22" t="s">
        <v>119</v>
      </c>
      <c r="S22" t="s">
        <v>44</v>
      </c>
      <c r="T22" t="s">
        <v>47</v>
      </c>
      <c r="U22" t="s">
        <v>199</v>
      </c>
      <c r="V22" t="s">
        <v>200</v>
      </c>
    </row>
    <row r="23" spans="1:22" x14ac:dyDescent="0.2">
      <c r="A23" t="s">
        <v>75</v>
      </c>
      <c r="B23" t="s">
        <v>201</v>
      </c>
      <c r="C23" t="str">
        <f t="shared" si="0"/>
        <v>Excel_DispositionList_Internal_2026-01-20_Superseded</v>
      </c>
      <c r="D23" t="s">
        <v>192</v>
      </c>
      <c r="E23" t="s">
        <v>661</v>
      </c>
      <c r="F23" t="s">
        <v>25</v>
      </c>
      <c r="G23" t="s">
        <v>30</v>
      </c>
      <c r="H23" t="s">
        <v>193</v>
      </c>
      <c r="I23" t="s">
        <v>41</v>
      </c>
      <c r="J23" t="s">
        <v>119</v>
      </c>
      <c r="K23" t="s">
        <v>41</v>
      </c>
      <c r="L23" s="3">
        <v>46042</v>
      </c>
      <c r="M23" t="s">
        <v>131</v>
      </c>
      <c r="N23" t="s">
        <v>198</v>
      </c>
      <c r="O23" t="s">
        <v>94</v>
      </c>
      <c r="P23" t="s">
        <v>119</v>
      </c>
      <c r="Q23" t="s">
        <v>94</v>
      </c>
      <c r="R23" t="s">
        <v>119</v>
      </c>
      <c r="S23" t="s">
        <v>45</v>
      </c>
      <c r="T23" t="s">
        <v>49</v>
      </c>
      <c r="U23" t="s">
        <v>132</v>
      </c>
      <c r="V23" t="s">
        <v>202</v>
      </c>
    </row>
    <row r="24" spans="1:22" x14ac:dyDescent="0.2">
      <c r="A24" t="s">
        <v>76</v>
      </c>
      <c r="B24" t="s">
        <v>203</v>
      </c>
      <c r="C24" t="str">
        <f t="shared" si="0"/>
        <v>PDF_RetentionPolicy_Internal_2025-10-05_Final</v>
      </c>
      <c r="D24" t="s">
        <v>192</v>
      </c>
      <c r="E24" t="s">
        <v>659</v>
      </c>
      <c r="F24" t="s">
        <v>25</v>
      </c>
      <c r="G24" t="s">
        <v>32</v>
      </c>
      <c r="H24" t="s">
        <v>206</v>
      </c>
      <c r="I24" t="s">
        <v>41</v>
      </c>
      <c r="J24" t="s">
        <v>119</v>
      </c>
      <c r="K24" t="s">
        <v>41</v>
      </c>
      <c r="L24" s="3">
        <v>45935</v>
      </c>
      <c r="M24" t="s">
        <v>37</v>
      </c>
      <c r="O24" t="s">
        <v>119</v>
      </c>
      <c r="P24" t="s">
        <v>119</v>
      </c>
      <c r="Q24" t="s">
        <v>119</v>
      </c>
      <c r="R24" t="s">
        <v>119</v>
      </c>
      <c r="S24" t="s">
        <v>44</v>
      </c>
      <c r="T24" t="s">
        <v>47</v>
      </c>
      <c r="U24" t="s">
        <v>207</v>
      </c>
      <c r="V24" t="s">
        <v>208</v>
      </c>
    </row>
    <row r="25" spans="1:22" x14ac:dyDescent="0.2">
      <c r="A25" t="s">
        <v>77</v>
      </c>
      <c r="B25" t="s">
        <v>209</v>
      </c>
      <c r="C25" t="str">
        <f t="shared" si="0"/>
        <v>Word_NamingConvention_Internal_2025-11-14_Draft</v>
      </c>
      <c r="D25" t="s">
        <v>192</v>
      </c>
      <c r="E25" t="s">
        <v>672</v>
      </c>
      <c r="F25" t="s">
        <v>25</v>
      </c>
      <c r="G25" t="s">
        <v>31</v>
      </c>
      <c r="H25" t="s">
        <v>211</v>
      </c>
      <c r="I25" t="s">
        <v>41</v>
      </c>
      <c r="J25" t="s">
        <v>119</v>
      </c>
      <c r="K25" t="s">
        <v>41</v>
      </c>
      <c r="L25" s="3">
        <v>45975</v>
      </c>
      <c r="M25" t="s">
        <v>36</v>
      </c>
      <c r="N25" t="s">
        <v>212</v>
      </c>
      <c r="O25" t="s">
        <v>94</v>
      </c>
      <c r="P25" t="s">
        <v>119</v>
      </c>
      <c r="Q25" t="s">
        <v>94</v>
      </c>
      <c r="R25" t="s">
        <v>119</v>
      </c>
      <c r="S25" t="s">
        <v>45</v>
      </c>
      <c r="T25" t="s">
        <v>49</v>
      </c>
      <c r="U25" t="s">
        <v>175</v>
      </c>
      <c r="V25" t="s">
        <v>213</v>
      </c>
    </row>
    <row r="26" spans="1:22" x14ac:dyDescent="0.2">
      <c r="A26" t="s">
        <v>78</v>
      </c>
      <c r="B26" t="s">
        <v>214</v>
      </c>
      <c r="C26" t="str">
        <f t="shared" si="0"/>
        <v>Word_NamingConvention_Internal_2025-12-01_Final</v>
      </c>
      <c r="D26" t="s">
        <v>192</v>
      </c>
      <c r="E26" t="s">
        <v>672</v>
      </c>
      <c r="F26" t="s">
        <v>25</v>
      </c>
      <c r="G26" t="s">
        <v>31</v>
      </c>
      <c r="H26" t="s">
        <v>211</v>
      </c>
      <c r="I26" t="s">
        <v>41</v>
      </c>
      <c r="J26" t="s">
        <v>119</v>
      </c>
      <c r="K26" t="s">
        <v>41</v>
      </c>
      <c r="L26" s="3">
        <v>45992</v>
      </c>
      <c r="M26" t="s">
        <v>37</v>
      </c>
      <c r="N26" t="s">
        <v>212</v>
      </c>
      <c r="O26" t="s">
        <v>94</v>
      </c>
      <c r="P26" t="s">
        <v>119</v>
      </c>
      <c r="Q26" t="s">
        <v>119</v>
      </c>
      <c r="R26" t="s">
        <v>119</v>
      </c>
      <c r="S26" t="s">
        <v>44</v>
      </c>
      <c r="T26" t="s">
        <v>47</v>
      </c>
      <c r="U26" t="s">
        <v>215</v>
      </c>
      <c r="V26" t="s">
        <v>216</v>
      </c>
    </row>
    <row r="27" spans="1:22" x14ac:dyDescent="0.2">
      <c r="A27" t="s">
        <v>79</v>
      </c>
      <c r="B27" t="s">
        <v>217</v>
      </c>
      <c r="C27" t="str">
        <f t="shared" si="0"/>
        <v>Excel_SharePointInventory_Internal_2026-01-28_Draft</v>
      </c>
      <c r="D27" t="s">
        <v>192</v>
      </c>
      <c r="E27" t="s">
        <v>114</v>
      </c>
      <c r="F27" t="s">
        <v>25</v>
      </c>
      <c r="G27" t="s">
        <v>30</v>
      </c>
      <c r="H27" t="s">
        <v>219</v>
      </c>
      <c r="I27" t="s">
        <v>41</v>
      </c>
      <c r="J27" t="s">
        <v>119</v>
      </c>
      <c r="K27" t="s">
        <v>41</v>
      </c>
      <c r="L27" s="3">
        <v>46050</v>
      </c>
      <c r="M27" t="s">
        <v>36</v>
      </c>
      <c r="N27" t="s">
        <v>220</v>
      </c>
      <c r="O27" t="s">
        <v>94</v>
      </c>
      <c r="P27" t="s">
        <v>119</v>
      </c>
      <c r="Q27" t="s">
        <v>94</v>
      </c>
      <c r="R27" t="s">
        <v>119</v>
      </c>
      <c r="S27" t="s">
        <v>46</v>
      </c>
      <c r="T27" t="s">
        <v>49</v>
      </c>
      <c r="U27" t="s">
        <v>221</v>
      </c>
      <c r="V27" t="s">
        <v>222</v>
      </c>
    </row>
    <row r="28" spans="1:22" x14ac:dyDescent="0.2">
      <c r="A28" t="s">
        <v>80</v>
      </c>
      <c r="B28" t="s">
        <v>223</v>
      </c>
      <c r="C28" t="str">
        <f t="shared" si="0"/>
        <v>Excel_SharePointInventory_Internal_2026-02-05_Final</v>
      </c>
      <c r="D28" t="s">
        <v>192</v>
      </c>
      <c r="E28" t="s">
        <v>114</v>
      </c>
      <c r="F28" t="s">
        <v>25</v>
      </c>
      <c r="G28" t="s">
        <v>30</v>
      </c>
      <c r="H28" t="s">
        <v>219</v>
      </c>
      <c r="I28" t="s">
        <v>41</v>
      </c>
      <c r="J28" t="s">
        <v>119</v>
      </c>
      <c r="K28" t="s">
        <v>41</v>
      </c>
      <c r="L28" s="3">
        <v>46058</v>
      </c>
      <c r="M28" t="s">
        <v>37</v>
      </c>
      <c r="N28" t="s">
        <v>220</v>
      </c>
      <c r="O28" t="s">
        <v>94</v>
      </c>
      <c r="P28" t="s">
        <v>119</v>
      </c>
      <c r="Q28" t="s">
        <v>119</v>
      </c>
      <c r="R28" t="s">
        <v>119</v>
      </c>
      <c r="S28" t="s">
        <v>44</v>
      </c>
      <c r="T28" t="s">
        <v>47</v>
      </c>
      <c r="U28" t="s">
        <v>225</v>
      </c>
      <c r="V28" t="s">
        <v>226</v>
      </c>
    </row>
    <row r="29" spans="1:22" x14ac:dyDescent="0.2">
      <c r="A29" t="s">
        <v>81</v>
      </c>
      <c r="B29" t="s">
        <v>227</v>
      </c>
      <c r="C29" t="str">
        <f t="shared" si="0"/>
        <v>PDF_OffsiteRetrieval_Internal_2025-09-18_Final</v>
      </c>
      <c r="D29" t="s">
        <v>192</v>
      </c>
      <c r="E29" t="s">
        <v>661</v>
      </c>
      <c r="F29" t="s">
        <v>25</v>
      </c>
      <c r="G29" t="s">
        <v>32</v>
      </c>
      <c r="H29" t="s">
        <v>229</v>
      </c>
      <c r="I29" t="s">
        <v>41</v>
      </c>
      <c r="J29" t="s">
        <v>119</v>
      </c>
      <c r="K29" t="s">
        <v>41</v>
      </c>
      <c r="L29" s="3">
        <v>45918</v>
      </c>
      <c r="M29" t="s">
        <v>37</v>
      </c>
      <c r="O29" t="s">
        <v>119</v>
      </c>
      <c r="P29" t="s">
        <v>119</v>
      </c>
      <c r="Q29" t="s">
        <v>119</v>
      </c>
      <c r="R29" t="s">
        <v>119</v>
      </c>
      <c r="S29" t="s">
        <v>44</v>
      </c>
      <c r="T29" t="s">
        <v>47</v>
      </c>
      <c r="U29" t="s">
        <v>230</v>
      </c>
      <c r="V29" t="s">
        <v>231</v>
      </c>
    </row>
    <row r="30" spans="1:22" x14ac:dyDescent="0.2">
      <c r="A30" t="s">
        <v>82</v>
      </c>
      <c r="B30" t="s">
        <v>232</v>
      </c>
      <c r="C30" t="str">
        <f t="shared" si="0"/>
        <v>PDF_PhysicalRecordsInventory_Internal_2025-08-30_Draft</v>
      </c>
      <c r="D30" t="s">
        <v>192</v>
      </c>
      <c r="F30" t="s">
        <v>25</v>
      </c>
      <c r="G30" t="s">
        <v>32</v>
      </c>
      <c r="H30" t="s">
        <v>234</v>
      </c>
      <c r="I30" t="s">
        <v>41</v>
      </c>
      <c r="J30" t="s">
        <v>119</v>
      </c>
      <c r="K30" t="s">
        <v>42</v>
      </c>
      <c r="L30" s="3">
        <v>45899</v>
      </c>
      <c r="M30" t="s">
        <v>36</v>
      </c>
      <c r="O30" t="s">
        <v>119</v>
      </c>
      <c r="P30" t="s">
        <v>94</v>
      </c>
      <c r="Q30" t="s">
        <v>119</v>
      </c>
      <c r="R30" t="s">
        <v>119</v>
      </c>
      <c r="S30" t="s">
        <v>46</v>
      </c>
      <c r="T30" t="s">
        <v>48</v>
      </c>
      <c r="U30" t="s">
        <v>235</v>
      </c>
      <c r="V30" t="s">
        <v>236</v>
      </c>
    </row>
    <row r="31" spans="1:22" x14ac:dyDescent="0.2">
      <c r="A31" t="s">
        <v>83</v>
      </c>
      <c r="B31" t="s">
        <v>96</v>
      </c>
      <c r="C31" t="str">
        <f t="shared" si="0"/>
        <v>Excel_IntakeAdmin_Internal_2026-01-30_Draft</v>
      </c>
      <c r="D31" t="s">
        <v>238</v>
      </c>
      <c r="E31" t="s">
        <v>112</v>
      </c>
      <c r="F31" t="s">
        <v>39</v>
      </c>
      <c r="G31" t="s">
        <v>30</v>
      </c>
      <c r="H31" t="s">
        <v>239</v>
      </c>
      <c r="I31" t="s">
        <v>41</v>
      </c>
      <c r="J31" t="s">
        <v>119</v>
      </c>
      <c r="K31" t="s">
        <v>41</v>
      </c>
      <c r="L31" s="3">
        <v>46052</v>
      </c>
      <c r="M31" t="s">
        <v>36</v>
      </c>
      <c r="O31" t="s">
        <v>119</v>
      </c>
      <c r="P31" t="s">
        <v>119</v>
      </c>
      <c r="Q31" t="s">
        <v>119</v>
      </c>
      <c r="R31" t="s">
        <v>94</v>
      </c>
      <c r="S31" t="s">
        <v>45</v>
      </c>
      <c r="T31" t="s">
        <v>49</v>
      </c>
      <c r="U31" t="s">
        <v>240</v>
      </c>
      <c r="V31" t="s">
        <v>241</v>
      </c>
    </row>
    <row r="32" spans="1:22" x14ac:dyDescent="0.2">
      <c r="A32" t="s">
        <v>84</v>
      </c>
      <c r="B32" t="s">
        <v>97</v>
      </c>
      <c r="C32" t="str">
        <f t="shared" si="0"/>
        <v>Excel_IntakeAdmin_Internal_2026-02-10_Draft</v>
      </c>
      <c r="D32" t="s">
        <v>238</v>
      </c>
      <c r="E32" t="s">
        <v>659</v>
      </c>
      <c r="F32" t="s">
        <v>39</v>
      </c>
      <c r="G32" t="s">
        <v>30</v>
      </c>
      <c r="H32" t="s">
        <v>239</v>
      </c>
      <c r="I32" t="s">
        <v>41</v>
      </c>
      <c r="J32" t="s">
        <v>119</v>
      </c>
      <c r="K32" t="s">
        <v>41</v>
      </c>
      <c r="L32" s="3">
        <v>46063</v>
      </c>
      <c r="M32" t="s">
        <v>36</v>
      </c>
      <c r="N32" t="s">
        <v>243</v>
      </c>
      <c r="O32" t="s">
        <v>94</v>
      </c>
      <c r="P32" t="s">
        <v>119</v>
      </c>
      <c r="Q32" t="s">
        <v>119</v>
      </c>
      <c r="R32" t="s">
        <v>119</v>
      </c>
      <c r="S32" t="s">
        <v>46</v>
      </c>
      <c r="T32" t="s">
        <v>49</v>
      </c>
      <c r="U32" t="s">
        <v>244</v>
      </c>
      <c r="V32" t="s">
        <v>245</v>
      </c>
    </row>
    <row r="33" spans="1:22" x14ac:dyDescent="0.2">
      <c r="A33" t="s">
        <v>85</v>
      </c>
      <c r="B33" t="s">
        <v>98</v>
      </c>
      <c r="C33" t="str">
        <f t="shared" si="0"/>
        <v>Excel_IntakeAdmin_Internal_2026-02-16_Final</v>
      </c>
      <c r="D33" t="s">
        <v>238</v>
      </c>
      <c r="E33" t="s">
        <v>659</v>
      </c>
      <c r="F33" t="s">
        <v>39</v>
      </c>
      <c r="G33" t="s">
        <v>30</v>
      </c>
      <c r="H33" t="s">
        <v>239</v>
      </c>
      <c r="I33" t="s">
        <v>41</v>
      </c>
      <c r="J33" t="s">
        <v>119</v>
      </c>
      <c r="K33" t="s">
        <v>41</v>
      </c>
      <c r="L33" s="3">
        <v>46069</v>
      </c>
      <c r="M33" t="s">
        <v>37</v>
      </c>
      <c r="N33" t="s">
        <v>243</v>
      </c>
      <c r="O33" t="s">
        <v>94</v>
      </c>
      <c r="P33" t="s">
        <v>119</v>
      </c>
      <c r="Q33" t="s">
        <v>119</v>
      </c>
      <c r="R33" t="s">
        <v>119</v>
      </c>
      <c r="S33" t="s">
        <v>44</v>
      </c>
      <c r="T33" t="s">
        <v>47</v>
      </c>
      <c r="U33" t="s">
        <v>246</v>
      </c>
      <c r="V33" t="s">
        <v>247</v>
      </c>
    </row>
    <row r="34" spans="1:22" x14ac:dyDescent="0.2">
      <c r="A34" t="s">
        <v>86</v>
      </c>
      <c r="B34" t="s">
        <v>248</v>
      </c>
      <c r="C34" t="str">
        <f t="shared" ref="C34:C65" si="1">SUBSTITUTE(_xlfn.TEXTJOIN("_", TRUE, G34, H34, SUBSTITUTE(I34, " ", ""), TEXT(L34, "yyyy-mm-dd"), M34), " ", "")</f>
        <v>Word_MeetingNotes_Internal_2026-01-20_Final</v>
      </c>
      <c r="D34" t="s">
        <v>238</v>
      </c>
      <c r="E34" t="s">
        <v>672</v>
      </c>
      <c r="F34" t="s">
        <v>39</v>
      </c>
      <c r="G34" t="s">
        <v>31</v>
      </c>
      <c r="H34" t="s">
        <v>250</v>
      </c>
      <c r="I34" t="s">
        <v>41</v>
      </c>
      <c r="J34" t="s">
        <v>119</v>
      </c>
      <c r="K34" t="s">
        <v>41</v>
      </c>
      <c r="L34" s="3">
        <v>46042</v>
      </c>
      <c r="M34" t="s">
        <v>37</v>
      </c>
      <c r="O34" t="s">
        <v>119</v>
      </c>
      <c r="P34" t="s">
        <v>119</v>
      </c>
      <c r="Q34" t="s">
        <v>119</v>
      </c>
      <c r="R34" t="s">
        <v>119</v>
      </c>
      <c r="S34" t="s">
        <v>44</v>
      </c>
      <c r="T34" t="s">
        <v>47</v>
      </c>
      <c r="U34" t="s">
        <v>251</v>
      </c>
      <c r="V34" t="s">
        <v>252</v>
      </c>
    </row>
    <row r="35" spans="1:22" x14ac:dyDescent="0.2">
      <c r="A35" t="s">
        <v>87</v>
      </c>
      <c r="B35" t="s">
        <v>253</v>
      </c>
      <c r="C35" t="str">
        <f t="shared" si="1"/>
        <v>Word_MeetingNotes_Internal_2026-02-03_Final</v>
      </c>
      <c r="D35" t="s">
        <v>238</v>
      </c>
      <c r="E35" t="s">
        <v>672</v>
      </c>
      <c r="F35" t="s">
        <v>39</v>
      </c>
      <c r="G35" t="s">
        <v>31</v>
      </c>
      <c r="H35" t="s">
        <v>250</v>
      </c>
      <c r="I35" t="s">
        <v>41</v>
      </c>
      <c r="J35" t="s">
        <v>119</v>
      </c>
      <c r="K35" t="s">
        <v>41</v>
      </c>
      <c r="L35" s="3">
        <v>46056</v>
      </c>
      <c r="M35" t="s">
        <v>37</v>
      </c>
      <c r="O35" t="s">
        <v>119</v>
      </c>
      <c r="P35" t="s">
        <v>119</v>
      </c>
      <c r="Q35" t="s">
        <v>119</v>
      </c>
      <c r="R35" t="s">
        <v>119</v>
      </c>
      <c r="S35" t="s">
        <v>44</v>
      </c>
      <c r="T35" t="s">
        <v>47</v>
      </c>
      <c r="U35" t="s">
        <v>251</v>
      </c>
      <c r="V35" t="s">
        <v>255</v>
      </c>
    </row>
    <row r="36" spans="1:22" x14ac:dyDescent="0.2">
      <c r="A36" t="s">
        <v>88</v>
      </c>
      <c r="B36" t="s">
        <v>99</v>
      </c>
      <c r="C36" t="str">
        <f t="shared" si="1"/>
        <v>EmailExport_ApprovalRecord_Internal_2026-02-11_Draft</v>
      </c>
      <c r="D36" t="s">
        <v>238</v>
      </c>
      <c r="E36" t="s">
        <v>672</v>
      </c>
      <c r="F36" t="s">
        <v>39</v>
      </c>
      <c r="G36" t="s">
        <v>33</v>
      </c>
      <c r="H36" t="s">
        <v>257</v>
      </c>
      <c r="I36" t="s">
        <v>41</v>
      </c>
      <c r="J36" t="s">
        <v>119</v>
      </c>
      <c r="K36" t="s">
        <v>41</v>
      </c>
      <c r="L36" s="3">
        <v>46064</v>
      </c>
      <c r="M36" t="s">
        <v>36</v>
      </c>
      <c r="N36" t="s">
        <v>258</v>
      </c>
      <c r="O36" t="s">
        <v>94</v>
      </c>
      <c r="P36" t="s">
        <v>119</v>
      </c>
      <c r="Q36" t="s">
        <v>119</v>
      </c>
      <c r="R36" t="s">
        <v>119</v>
      </c>
      <c r="S36" t="s">
        <v>44</v>
      </c>
      <c r="T36" t="s">
        <v>47</v>
      </c>
      <c r="U36" t="s">
        <v>259</v>
      </c>
      <c r="V36" t="s">
        <v>260</v>
      </c>
    </row>
    <row r="37" spans="1:22" x14ac:dyDescent="0.2">
      <c r="A37" t="s">
        <v>89</v>
      </c>
      <c r="B37" t="s">
        <v>100</v>
      </c>
      <c r="C37" t="str">
        <f t="shared" si="1"/>
        <v>EmailExport_ApprovalRecord_Internal_2026-02-11_Superseded</v>
      </c>
      <c r="D37" t="s">
        <v>238</v>
      </c>
      <c r="F37" t="s">
        <v>39</v>
      </c>
      <c r="G37" t="s">
        <v>33</v>
      </c>
      <c r="H37" t="s">
        <v>257</v>
      </c>
      <c r="I37" t="s">
        <v>41</v>
      </c>
      <c r="J37" t="s">
        <v>119</v>
      </c>
      <c r="K37" t="s">
        <v>41</v>
      </c>
      <c r="L37" s="3">
        <v>46064</v>
      </c>
      <c r="M37" t="s">
        <v>131</v>
      </c>
      <c r="N37" t="s">
        <v>258</v>
      </c>
      <c r="O37" t="s">
        <v>94</v>
      </c>
      <c r="P37" t="s">
        <v>119</v>
      </c>
      <c r="Q37" t="s">
        <v>94</v>
      </c>
      <c r="R37" t="s">
        <v>119</v>
      </c>
      <c r="S37" t="s">
        <v>45</v>
      </c>
      <c r="T37" t="s">
        <v>49</v>
      </c>
      <c r="U37" t="s">
        <v>261</v>
      </c>
      <c r="V37" t="s">
        <v>262</v>
      </c>
    </row>
    <row r="38" spans="1:22" x14ac:dyDescent="0.2">
      <c r="A38" t="s">
        <v>90</v>
      </c>
      <c r="B38" t="s">
        <v>263</v>
      </c>
      <c r="C38" t="str">
        <f t="shared" si="1"/>
        <v>Word_Unknown/Unclassified_Internal_2025-06-10_Draft</v>
      </c>
      <c r="D38" t="s">
        <v>238</v>
      </c>
      <c r="F38" t="s">
        <v>39</v>
      </c>
      <c r="G38" t="s">
        <v>31</v>
      </c>
      <c r="H38" t="s">
        <v>265</v>
      </c>
      <c r="I38" t="s">
        <v>41</v>
      </c>
      <c r="J38" t="s">
        <v>119</v>
      </c>
      <c r="K38" t="s">
        <v>41</v>
      </c>
      <c r="L38" s="3">
        <v>45818</v>
      </c>
      <c r="M38" t="s">
        <v>36</v>
      </c>
      <c r="O38" t="s">
        <v>119</v>
      </c>
      <c r="P38" t="s">
        <v>94</v>
      </c>
      <c r="Q38" t="s">
        <v>94</v>
      </c>
      <c r="R38" t="s">
        <v>94</v>
      </c>
      <c r="S38" t="s">
        <v>46</v>
      </c>
      <c r="T38" t="s">
        <v>48</v>
      </c>
      <c r="U38" t="s">
        <v>266</v>
      </c>
      <c r="V38" t="s">
        <v>276</v>
      </c>
    </row>
    <row r="39" spans="1:22" x14ac:dyDescent="0.2">
      <c r="A39" t="s">
        <v>91</v>
      </c>
      <c r="B39" t="s">
        <v>267</v>
      </c>
      <c r="C39" t="str">
        <f t="shared" si="1"/>
        <v>Excel_Disposition/Archive_Internal_2024-12-02_Superseded</v>
      </c>
      <c r="D39" t="s">
        <v>238</v>
      </c>
      <c r="E39" t="s">
        <v>659</v>
      </c>
      <c r="F39" t="s">
        <v>39</v>
      </c>
      <c r="G39" t="s">
        <v>30</v>
      </c>
      <c r="H39" t="s">
        <v>269</v>
      </c>
      <c r="I39" t="s">
        <v>41</v>
      </c>
      <c r="J39" t="s">
        <v>119</v>
      </c>
      <c r="K39" t="s">
        <v>41</v>
      </c>
      <c r="L39" s="3">
        <v>45628</v>
      </c>
      <c r="M39" t="s">
        <v>131</v>
      </c>
      <c r="O39" t="s">
        <v>119</v>
      </c>
      <c r="P39" t="s">
        <v>94</v>
      </c>
      <c r="Q39" t="s">
        <v>94</v>
      </c>
      <c r="R39" t="s">
        <v>119</v>
      </c>
      <c r="S39" t="s">
        <v>46</v>
      </c>
      <c r="T39" t="s">
        <v>48</v>
      </c>
      <c r="U39" t="s">
        <v>270</v>
      </c>
      <c r="V39" t="s">
        <v>271</v>
      </c>
    </row>
    <row r="40" spans="1:22" x14ac:dyDescent="0.2">
      <c r="A40" t="s">
        <v>92</v>
      </c>
      <c r="B40" t="s">
        <v>272</v>
      </c>
      <c r="C40" t="str">
        <f t="shared" si="1"/>
        <v>Word_Transitory_Internal_2026-02-17_Draft</v>
      </c>
      <c r="D40" t="s">
        <v>238</v>
      </c>
      <c r="F40" t="s">
        <v>39</v>
      </c>
      <c r="G40" t="s">
        <v>31</v>
      </c>
      <c r="H40" t="s">
        <v>273</v>
      </c>
      <c r="I40" t="s">
        <v>41</v>
      </c>
      <c r="J40" t="s">
        <v>119</v>
      </c>
      <c r="K40" t="s">
        <v>41</v>
      </c>
      <c r="L40" s="3">
        <v>46070</v>
      </c>
      <c r="M40" t="s">
        <v>36</v>
      </c>
      <c r="O40" t="s">
        <v>119</v>
      </c>
      <c r="P40" t="s">
        <v>94</v>
      </c>
      <c r="Q40" t="s">
        <v>119</v>
      </c>
      <c r="R40" t="s">
        <v>94</v>
      </c>
      <c r="S40" t="s">
        <v>45</v>
      </c>
      <c r="T40" t="s">
        <v>48</v>
      </c>
      <c r="U40" t="s">
        <v>274</v>
      </c>
      <c r="V40" t="s">
        <v>275</v>
      </c>
    </row>
    <row r="41" spans="1:22" x14ac:dyDescent="0.2">
      <c r="A41" t="s">
        <v>545</v>
      </c>
      <c r="B41" t="str">
        <f>SUBSTITUTE(_xlfn.TEXTJOIN("_", TRUE, G41, I41, TEXT(M41, "yyyy-mm-dd"), N41), " ", "") &amp; "." &amp; LOWER(H41)</f>
        <v>Scan_Internal_Final.weekly status summary</v>
      </c>
      <c r="C41" t="str">
        <f t="shared" ca="1" si="1"/>
        <v>Scan_WeeklyStatusSummary_Internal_2025-11-22_Final</v>
      </c>
      <c r="D41" t="s">
        <v>656</v>
      </c>
      <c r="E41" t="s">
        <v>662</v>
      </c>
      <c r="F41" t="s">
        <v>27</v>
      </c>
      <c r="G41" t="s">
        <v>34</v>
      </c>
      <c r="H41" t="s">
        <v>147</v>
      </c>
      <c r="I41" t="s">
        <v>41</v>
      </c>
      <c r="J41" t="s">
        <v>119</v>
      </c>
      <c r="K41" t="s">
        <v>41</v>
      </c>
      <c r="L41" s="13">
        <f ca="1">DATE(2025, RANDBETWEEN(1, 12), RANDBETWEEN(1, 28))</f>
        <v>45983</v>
      </c>
      <c r="M41" t="s">
        <v>37</v>
      </c>
      <c r="P41" t="s">
        <v>119</v>
      </c>
      <c r="Q41" t="s">
        <v>119</v>
      </c>
      <c r="R41" t="s">
        <v>119</v>
      </c>
      <c r="S41" t="s">
        <v>47</v>
      </c>
      <c r="T41" t="s">
        <v>47</v>
      </c>
    </row>
    <row r="42" spans="1:22" x14ac:dyDescent="0.2">
      <c r="A42" t="s">
        <v>546</v>
      </c>
      <c r="B42" t="str">
        <f t="shared" ref="B42:B105" si="2">SUBSTITUTE(_xlfn.TEXTJOIN("_", TRUE, G42, I42, TEXT(M42, "yyyy-mm-dd"), N42), " ", "") &amp; "." &amp; LOWER(H42)</f>
        <v>PowerPoint_Internal_Draft.dashboard deck</v>
      </c>
      <c r="C42" t="str">
        <f t="shared" ca="1" si="1"/>
        <v>PowerPoint_DashboardDeck_Internal_2025-12-13_Draft</v>
      </c>
      <c r="D42" t="s">
        <v>656</v>
      </c>
      <c r="E42" t="s">
        <v>662</v>
      </c>
      <c r="F42" t="s">
        <v>27</v>
      </c>
      <c r="G42" t="s">
        <v>159</v>
      </c>
      <c r="H42" t="s">
        <v>160</v>
      </c>
      <c r="I42" t="s">
        <v>41</v>
      </c>
      <c r="J42" t="s">
        <v>119</v>
      </c>
      <c r="K42" t="s">
        <v>41</v>
      </c>
      <c r="L42" s="13">
        <f t="shared" ref="L42:L105" ca="1" si="3">DATE(2025, RANDBETWEEN(1, 12), RANDBETWEEN(1, 28))</f>
        <v>46004</v>
      </c>
      <c r="M42" t="s">
        <v>36</v>
      </c>
      <c r="P42" t="s">
        <v>119</v>
      </c>
      <c r="Q42" t="s">
        <v>119</v>
      </c>
      <c r="R42" t="s">
        <v>119</v>
      </c>
      <c r="S42" t="s">
        <v>47</v>
      </c>
      <c r="T42" t="s">
        <v>47</v>
      </c>
    </row>
    <row r="43" spans="1:22" x14ac:dyDescent="0.2">
      <c r="A43" t="s">
        <v>547</v>
      </c>
      <c r="B43" t="str">
        <f t="shared" si="2"/>
        <v>PowerPoint_Internal_Final.dashboard deck</v>
      </c>
      <c r="C43" t="str">
        <f t="shared" ca="1" si="1"/>
        <v>PowerPoint_DashboardDeck_Internal_2025-05-19_Final</v>
      </c>
      <c r="D43" t="s">
        <v>656</v>
      </c>
      <c r="E43" t="s">
        <v>662</v>
      </c>
      <c r="F43" t="s">
        <v>27</v>
      </c>
      <c r="G43" t="s">
        <v>159</v>
      </c>
      <c r="H43" t="s">
        <v>160</v>
      </c>
      <c r="I43" t="s">
        <v>41</v>
      </c>
      <c r="J43" t="s">
        <v>119</v>
      </c>
      <c r="K43" t="s">
        <v>41</v>
      </c>
      <c r="L43" s="13">
        <f t="shared" ca="1" si="3"/>
        <v>45796</v>
      </c>
      <c r="M43" t="s">
        <v>37</v>
      </c>
      <c r="P43" t="s">
        <v>119</v>
      </c>
      <c r="Q43" t="s">
        <v>119</v>
      </c>
      <c r="R43" t="s">
        <v>119</v>
      </c>
      <c r="S43" t="s">
        <v>47</v>
      </c>
      <c r="T43" t="s">
        <v>47</v>
      </c>
    </row>
    <row r="44" spans="1:22" x14ac:dyDescent="0.2">
      <c r="A44" t="s">
        <v>548</v>
      </c>
      <c r="B44" t="str">
        <f t="shared" si="2"/>
        <v>PowerPoint_Internal_Final.dashboard deck</v>
      </c>
      <c r="C44" t="str">
        <f t="shared" ca="1" si="1"/>
        <v>PowerPoint_DashboardDeck_Internal_2025-06-08_Final</v>
      </c>
      <c r="D44" t="s">
        <v>656</v>
      </c>
      <c r="E44" t="s">
        <v>662</v>
      </c>
      <c r="F44" t="s">
        <v>27</v>
      </c>
      <c r="G44" t="s">
        <v>159</v>
      </c>
      <c r="H44" t="s">
        <v>160</v>
      </c>
      <c r="I44" t="s">
        <v>41</v>
      </c>
      <c r="J44" t="s">
        <v>119</v>
      </c>
      <c r="K44" t="s">
        <v>41</v>
      </c>
      <c r="L44" s="13">
        <f t="shared" ca="1" si="3"/>
        <v>45816</v>
      </c>
      <c r="M44" t="s">
        <v>37</v>
      </c>
      <c r="P44" t="s">
        <v>119</v>
      </c>
      <c r="Q44" t="s">
        <v>119</v>
      </c>
      <c r="R44" t="s">
        <v>119</v>
      </c>
      <c r="S44" t="s">
        <v>47</v>
      </c>
      <c r="T44" t="s">
        <v>47</v>
      </c>
    </row>
    <row r="45" spans="1:22" x14ac:dyDescent="0.2">
      <c r="A45" t="s">
        <v>549</v>
      </c>
      <c r="B45" t="str">
        <f t="shared" si="2"/>
        <v>Excel_Internal_Draft.summary table</v>
      </c>
      <c r="C45" t="str">
        <f t="shared" ca="1" si="1"/>
        <v>Excel_SummaryTable_Internal_2025-06-07_Draft</v>
      </c>
      <c r="D45" t="s">
        <v>656</v>
      </c>
      <c r="E45" t="s">
        <v>662</v>
      </c>
      <c r="F45" t="s">
        <v>27</v>
      </c>
      <c r="G45" t="s">
        <v>30</v>
      </c>
      <c r="H45" t="s">
        <v>173</v>
      </c>
      <c r="I45" t="s">
        <v>41</v>
      </c>
      <c r="J45" t="s">
        <v>119</v>
      </c>
      <c r="K45" t="s">
        <v>41</v>
      </c>
      <c r="L45" s="13">
        <f t="shared" ca="1" si="3"/>
        <v>45815</v>
      </c>
      <c r="M45" t="s">
        <v>36</v>
      </c>
      <c r="P45" t="s">
        <v>119</v>
      </c>
      <c r="Q45" t="s">
        <v>119</v>
      </c>
      <c r="R45" t="s">
        <v>119</v>
      </c>
      <c r="S45" t="s">
        <v>47</v>
      </c>
      <c r="T45" t="s">
        <v>47</v>
      </c>
    </row>
    <row r="46" spans="1:22" x14ac:dyDescent="0.2">
      <c r="A46" t="s">
        <v>550</v>
      </c>
      <c r="B46" t="str">
        <f t="shared" si="2"/>
        <v>Excel_Internal_Final.summary table</v>
      </c>
      <c r="C46" t="str">
        <f t="shared" ca="1" si="1"/>
        <v>Excel_SummaryTable_Internal_2025-10-13_Final</v>
      </c>
      <c r="D46" t="s">
        <v>656</v>
      </c>
      <c r="E46" t="s">
        <v>662</v>
      </c>
      <c r="F46" t="s">
        <v>27</v>
      </c>
      <c r="G46" t="s">
        <v>30</v>
      </c>
      <c r="H46" t="s">
        <v>173</v>
      </c>
      <c r="I46" t="s">
        <v>41</v>
      </c>
      <c r="J46" t="s">
        <v>119</v>
      </c>
      <c r="K46" t="s">
        <v>41</v>
      </c>
      <c r="L46" s="13">
        <f t="shared" ca="1" si="3"/>
        <v>45943</v>
      </c>
      <c r="M46" t="s">
        <v>37</v>
      </c>
      <c r="P46" t="s">
        <v>119</v>
      </c>
      <c r="Q46" t="s">
        <v>119</v>
      </c>
      <c r="R46" t="s">
        <v>119</v>
      </c>
      <c r="S46" t="s">
        <v>47</v>
      </c>
      <c r="T46" t="s">
        <v>47</v>
      </c>
    </row>
    <row r="47" spans="1:22" x14ac:dyDescent="0.2">
      <c r="A47" t="s">
        <v>551</v>
      </c>
      <c r="B47" t="str">
        <f t="shared" si="2"/>
        <v>Excel_Internal_Draft.chart drafts</v>
      </c>
      <c r="C47" t="str">
        <f t="shared" ca="1" si="1"/>
        <v>Excel_ChartDrafts_Internal_2025-10-20_Draft</v>
      </c>
      <c r="D47" t="s">
        <v>656</v>
      </c>
      <c r="E47" t="s">
        <v>662</v>
      </c>
      <c r="F47" t="s">
        <v>27</v>
      </c>
      <c r="G47" t="s">
        <v>30</v>
      </c>
      <c r="H47" t="s">
        <v>182</v>
      </c>
      <c r="I47" t="s">
        <v>41</v>
      </c>
      <c r="J47" t="s">
        <v>119</v>
      </c>
      <c r="K47" t="s">
        <v>41</v>
      </c>
      <c r="L47" s="13">
        <f t="shared" ca="1" si="3"/>
        <v>45950</v>
      </c>
      <c r="M47" t="s">
        <v>36</v>
      </c>
      <c r="P47" t="s">
        <v>119</v>
      </c>
      <c r="Q47" t="s">
        <v>119</v>
      </c>
      <c r="R47" t="s">
        <v>119</v>
      </c>
      <c r="S47" t="s">
        <v>47</v>
      </c>
      <c r="T47" t="s">
        <v>47</v>
      </c>
    </row>
    <row r="48" spans="1:22" x14ac:dyDescent="0.2">
      <c r="A48" t="s">
        <v>552</v>
      </c>
      <c r="B48" t="str">
        <f t="shared" si="2"/>
        <v>Word_Internal_Draft.briefing note</v>
      </c>
      <c r="C48" t="str">
        <f t="shared" ca="1" si="1"/>
        <v>Word_BriefingNote_Internal_2025-12-03_Draft</v>
      </c>
      <c r="D48" t="s">
        <v>656</v>
      </c>
      <c r="E48" t="s">
        <v>662</v>
      </c>
      <c r="F48" t="s">
        <v>27</v>
      </c>
      <c r="G48" t="s">
        <v>31</v>
      </c>
      <c r="H48" t="s">
        <v>187</v>
      </c>
      <c r="I48" t="s">
        <v>41</v>
      </c>
      <c r="J48" t="s">
        <v>119</v>
      </c>
      <c r="K48" t="s">
        <v>41</v>
      </c>
      <c r="L48" s="13">
        <f t="shared" ca="1" si="3"/>
        <v>45994</v>
      </c>
      <c r="M48" t="s">
        <v>36</v>
      </c>
      <c r="P48" t="s">
        <v>119</v>
      </c>
      <c r="Q48" t="s">
        <v>119</v>
      </c>
      <c r="R48" t="s">
        <v>119</v>
      </c>
      <c r="S48" t="s">
        <v>47</v>
      </c>
      <c r="T48" t="s">
        <v>47</v>
      </c>
    </row>
    <row r="49" spans="1:20" x14ac:dyDescent="0.2">
      <c r="A49" t="s">
        <v>553</v>
      </c>
      <c r="B49" t="str">
        <f t="shared" si="2"/>
        <v>Excel_Internal_Draft.transitory</v>
      </c>
      <c r="C49" t="str">
        <f t="shared" ca="1" si="1"/>
        <v>Excel_Transitory_Internal_2025-12-06_Draft</v>
      </c>
      <c r="D49" t="s">
        <v>657</v>
      </c>
      <c r="E49" t="s">
        <v>663</v>
      </c>
      <c r="F49" t="s">
        <v>655</v>
      </c>
      <c r="G49" t="s">
        <v>30</v>
      </c>
      <c r="H49" t="s">
        <v>273</v>
      </c>
      <c r="I49" t="s">
        <v>41</v>
      </c>
      <c r="J49" t="s">
        <v>119</v>
      </c>
      <c r="K49" t="s">
        <v>41</v>
      </c>
      <c r="L49" s="13">
        <f t="shared" ca="1" si="3"/>
        <v>45997</v>
      </c>
      <c r="M49" t="s">
        <v>36</v>
      </c>
      <c r="P49" t="s">
        <v>119</v>
      </c>
      <c r="Q49" t="s">
        <v>119</v>
      </c>
      <c r="R49" t="s">
        <v>94</v>
      </c>
      <c r="S49" t="s">
        <v>47</v>
      </c>
      <c r="T49" t="s">
        <v>47</v>
      </c>
    </row>
    <row r="50" spans="1:20" x14ac:dyDescent="0.2">
      <c r="A50" t="s">
        <v>554</v>
      </c>
      <c r="B50" t="str">
        <f t="shared" si="2"/>
        <v>Excel_Internal_Final.meeting notes</v>
      </c>
      <c r="C50" t="str">
        <f t="shared" ca="1" si="1"/>
        <v>Excel_MeetingNotes_Internal_2025-10-18_Final</v>
      </c>
      <c r="D50" t="s">
        <v>657</v>
      </c>
      <c r="E50" t="s">
        <v>663</v>
      </c>
      <c r="F50" t="s">
        <v>655</v>
      </c>
      <c r="G50" t="s">
        <v>30</v>
      </c>
      <c r="H50" t="s">
        <v>250</v>
      </c>
      <c r="I50" t="s">
        <v>41</v>
      </c>
      <c r="J50" t="s">
        <v>119</v>
      </c>
      <c r="K50" t="s">
        <v>41</v>
      </c>
      <c r="L50" s="13">
        <f t="shared" ca="1" si="3"/>
        <v>45948</v>
      </c>
      <c r="M50" t="s">
        <v>37</v>
      </c>
      <c r="P50" t="s">
        <v>119</v>
      </c>
      <c r="Q50" t="s">
        <v>119</v>
      </c>
      <c r="R50" t="s">
        <v>119</v>
      </c>
      <c r="S50" t="s">
        <v>47</v>
      </c>
      <c r="T50" t="s">
        <v>47</v>
      </c>
    </row>
    <row r="51" spans="1:20" x14ac:dyDescent="0.2">
      <c r="A51" t="s">
        <v>555</v>
      </c>
      <c r="B51" t="str">
        <f t="shared" ca="1" si="2"/>
        <v>Excel_Internal_Superseded.quarterly_audit_v2</v>
      </c>
      <c r="C51" t="str">
        <f t="shared" ca="1" si="1"/>
        <v>Excel_Quarterly_Audit_v2_Internal_2025-01-12_Superseded</v>
      </c>
      <c r="D51" t="s">
        <v>657</v>
      </c>
      <c r="E51" t="s">
        <v>663</v>
      </c>
      <c r="F51" t="s">
        <v>655</v>
      </c>
      <c r="G51" t="s">
        <v>30</v>
      </c>
      <c r="H51" t="str">
        <f ca="1">"Quarterly_Audit_v" &amp; RANDBETWEEN(1, 5)</f>
        <v>Quarterly_Audit_v2</v>
      </c>
      <c r="I51" t="s">
        <v>41</v>
      </c>
      <c r="J51" t="s">
        <v>119</v>
      </c>
      <c r="K51" t="s">
        <v>41</v>
      </c>
      <c r="L51" s="13">
        <f t="shared" ca="1" si="3"/>
        <v>45669</v>
      </c>
      <c r="M51" t="s">
        <v>131</v>
      </c>
      <c r="P51" t="s">
        <v>119</v>
      </c>
      <c r="Q51" t="s">
        <v>94</v>
      </c>
      <c r="R51" t="s">
        <v>119</v>
      </c>
      <c r="S51" t="s">
        <v>47</v>
      </c>
      <c r="T51" t="s">
        <v>47</v>
      </c>
    </row>
    <row r="52" spans="1:20" x14ac:dyDescent="0.2">
      <c r="A52" t="s">
        <v>556</v>
      </c>
      <c r="B52" t="str">
        <f t="shared" ca="1" si="2"/>
        <v>PDF_Internal_Final.quarterly_audit_v5</v>
      </c>
      <c r="C52" t="str">
        <f t="shared" ca="1" si="1"/>
        <v>PDF_Quarterly_Audit_v5_Internal_2025-12-11_Final</v>
      </c>
      <c r="D52" t="s">
        <v>657</v>
      </c>
      <c r="E52" t="s">
        <v>663</v>
      </c>
      <c r="F52" t="s">
        <v>655</v>
      </c>
      <c r="G52" t="s">
        <v>32</v>
      </c>
      <c r="H52" t="str">
        <f t="shared" ref="H52:H55" ca="1" si="4">"Quarterly_Audit_v" &amp; RANDBETWEEN(1, 5)</f>
        <v>Quarterly_Audit_v5</v>
      </c>
      <c r="I52" t="s">
        <v>41</v>
      </c>
      <c r="J52" t="s">
        <v>119</v>
      </c>
      <c r="K52" t="s">
        <v>41</v>
      </c>
      <c r="L52" s="13">
        <f t="shared" ca="1" si="3"/>
        <v>46002</v>
      </c>
      <c r="M52" t="s">
        <v>37</v>
      </c>
      <c r="P52" t="s">
        <v>119</v>
      </c>
      <c r="Q52" t="s">
        <v>119</v>
      </c>
      <c r="R52" t="s">
        <v>119</v>
      </c>
      <c r="S52" t="s">
        <v>47</v>
      </c>
      <c r="T52" t="s">
        <v>47</v>
      </c>
    </row>
    <row r="53" spans="1:20" x14ac:dyDescent="0.2">
      <c r="A53" t="s">
        <v>557</v>
      </c>
      <c r="B53" t="str">
        <f t="shared" ca="1" si="2"/>
        <v>Excel_Internal_Draft.quarterly_audit_v2</v>
      </c>
      <c r="C53" t="str">
        <f t="shared" ca="1" si="1"/>
        <v>Excel_Quarterly_Audit_v2_Internal_2025-02-18_Draft</v>
      </c>
      <c r="D53" t="s">
        <v>657</v>
      </c>
      <c r="E53" t="s">
        <v>663</v>
      </c>
      <c r="F53" t="s">
        <v>655</v>
      </c>
      <c r="G53" t="s">
        <v>30</v>
      </c>
      <c r="H53" t="str">
        <f t="shared" ca="1" si="4"/>
        <v>Quarterly_Audit_v2</v>
      </c>
      <c r="I53" t="s">
        <v>41</v>
      </c>
      <c r="J53" t="s">
        <v>119</v>
      </c>
      <c r="K53" t="s">
        <v>41</v>
      </c>
      <c r="L53" s="13">
        <f t="shared" ca="1" si="3"/>
        <v>45706</v>
      </c>
      <c r="M53" t="s">
        <v>36</v>
      </c>
      <c r="P53" t="s">
        <v>119</v>
      </c>
      <c r="Q53" t="s">
        <v>119</v>
      </c>
      <c r="R53" t="s">
        <v>119</v>
      </c>
      <c r="S53" t="s">
        <v>47</v>
      </c>
      <c r="T53" t="s">
        <v>47</v>
      </c>
    </row>
    <row r="54" spans="1:20" x14ac:dyDescent="0.2">
      <c r="A54" t="s">
        <v>558</v>
      </c>
      <c r="B54" t="str">
        <f t="shared" ca="1" si="2"/>
        <v>Excel_Internal_Final.quarterly_audit_v4</v>
      </c>
      <c r="C54" t="str">
        <f t="shared" ca="1" si="1"/>
        <v>Excel_Quarterly_Audit_v4_Internal_2025-01-27_Final</v>
      </c>
      <c r="D54" t="s">
        <v>657</v>
      </c>
      <c r="E54" t="s">
        <v>663</v>
      </c>
      <c r="F54" t="s">
        <v>655</v>
      </c>
      <c r="G54" t="s">
        <v>30</v>
      </c>
      <c r="H54" t="str">
        <f t="shared" ca="1" si="4"/>
        <v>Quarterly_Audit_v4</v>
      </c>
      <c r="I54" t="s">
        <v>41</v>
      </c>
      <c r="J54" t="s">
        <v>119</v>
      </c>
      <c r="K54" t="s">
        <v>41</v>
      </c>
      <c r="L54" s="13">
        <f t="shared" ca="1" si="3"/>
        <v>45684</v>
      </c>
      <c r="M54" t="s">
        <v>37</v>
      </c>
      <c r="P54" t="s">
        <v>119</v>
      </c>
      <c r="Q54" t="s">
        <v>119</v>
      </c>
      <c r="R54" t="s">
        <v>119</v>
      </c>
      <c r="S54" t="s">
        <v>47</v>
      </c>
      <c r="T54" t="s">
        <v>47</v>
      </c>
    </row>
    <row r="55" spans="1:20" x14ac:dyDescent="0.2">
      <c r="A55" t="s">
        <v>559</v>
      </c>
      <c r="B55" t="str">
        <f t="shared" ca="1" si="2"/>
        <v>PDF_Internal_Draft.quarterly_audit_v1</v>
      </c>
      <c r="C55" t="str">
        <f t="shared" ca="1" si="1"/>
        <v>PDF_Quarterly_Audit_v1_Internal_2025-05-25_Draft</v>
      </c>
      <c r="D55" t="s">
        <v>657</v>
      </c>
      <c r="E55" t="s">
        <v>663</v>
      </c>
      <c r="F55" t="s">
        <v>655</v>
      </c>
      <c r="G55" t="s">
        <v>32</v>
      </c>
      <c r="H55" t="str">
        <f t="shared" ca="1" si="4"/>
        <v>Quarterly_Audit_v1</v>
      </c>
      <c r="I55" t="s">
        <v>41</v>
      </c>
      <c r="J55" t="s">
        <v>119</v>
      </c>
      <c r="K55" t="s">
        <v>41</v>
      </c>
      <c r="L55" s="13">
        <f t="shared" ca="1" si="3"/>
        <v>45802</v>
      </c>
      <c r="M55" t="s">
        <v>36</v>
      </c>
      <c r="P55" t="s">
        <v>119</v>
      </c>
      <c r="Q55" t="s">
        <v>119</v>
      </c>
      <c r="R55" t="s">
        <v>119</v>
      </c>
      <c r="S55" t="s">
        <v>47</v>
      </c>
      <c r="T55" t="s">
        <v>47</v>
      </c>
    </row>
    <row r="56" spans="1:20" x14ac:dyDescent="0.2">
      <c r="A56" t="s">
        <v>560</v>
      </c>
      <c r="B56" t="str">
        <f t="shared" si="2"/>
        <v>PDF_Internal_Final.ledger</v>
      </c>
      <c r="C56" t="str">
        <f t="shared" ca="1" si="1"/>
        <v>PDF_Ledger_Internal_2025-07-25_Final</v>
      </c>
      <c r="D56" t="s">
        <v>657</v>
      </c>
      <c r="E56" t="s">
        <v>663</v>
      </c>
      <c r="F56" t="s">
        <v>655</v>
      </c>
      <c r="G56" t="s">
        <v>32</v>
      </c>
      <c r="H56" t="s">
        <v>664</v>
      </c>
      <c r="I56" t="s">
        <v>41</v>
      </c>
      <c r="J56" t="s">
        <v>119</v>
      </c>
      <c r="K56" t="s">
        <v>41</v>
      </c>
      <c r="L56" s="13">
        <f t="shared" ca="1" si="3"/>
        <v>45863</v>
      </c>
      <c r="M56" t="s">
        <v>37</v>
      </c>
      <c r="P56" t="s">
        <v>119</v>
      </c>
      <c r="Q56" t="s">
        <v>119</v>
      </c>
      <c r="R56" t="s">
        <v>119</v>
      </c>
      <c r="S56" t="s">
        <v>47</v>
      </c>
      <c r="T56" t="s">
        <v>47</v>
      </c>
    </row>
    <row r="57" spans="1:20" x14ac:dyDescent="0.2">
      <c r="A57" t="s">
        <v>561</v>
      </c>
      <c r="B57" t="str">
        <f t="shared" si="2"/>
        <v>Excel_Internal_Final.approval record</v>
      </c>
      <c r="C57" t="str">
        <f t="shared" ca="1" si="1"/>
        <v>Excel_ApprovalRecord_Internal_2025-09-21_Final</v>
      </c>
      <c r="D57" t="s">
        <v>657</v>
      </c>
      <c r="E57" t="s">
        <v>663</v>
      </c>
      <c r="F57" t="s">
        <v>655</v>
      </c>
      <c r="G57" t="s">
        <v>30</v>
      </c>
      <c r="H57" t="s">
        <v>257</v>
      </c>
      <c r="I57" t="s">
        <v>41</v>
      </c>
      <c r="J57" t="s">
        <v>119</v>
      </c>
      <c r="K57" t="s">
        <v>41</v>
      </c>
      <c r="L57" s="13">
        <f t="shared" ca="1" si="3"/>
        <v>45921</v>
      </c>
      <c r="M57" t="s">
        <v>37</v>
      </c>
      <c r="P57" t="s">
        <v>119</v>
      </c>
      <c r="Q57" t="s">
        <v>119</v>
      </c>
      <c r="R57" t="s">
        <v>119</v>
      </c>
      <c r="S57" t="s">
        <v>47</v>
      </c>
      <c r="T57" t="s">
        <v>47</v>
      </c>
    </row>
    <row r="58" spans="1:20" x14ac:dyDescent="0.2">
      <c r="A58" t="s">
        <v>562</v>
      </c>
      <c r="B58" t="str">
        <f t="shared" si="2"/>
        <v>Excel_Internal_Draft.ledger</v>
      </c>
      <c r="C58" t="str">
        <f t="shared" ca="1" si="1"/>
        <v>Excel_Ledger_Internal_2025-07-22_Draft</v>
      </c>
      <c r="D58" t="s">
        <v>657</v>
      </c>
      <c r="E58" t="s">
        <v>663</v>
      </c>
      <c r="F58" t="s">
        <v>655</v>
      </c>
      <c r="G58" t="s">
        <v>30</v>
      </c>
      <c r="H58" t="s">
        <v>664</v>
      </c>
      <c r="I58" t="s">
        <v>41</v>
      </c>
      <c r="J58" t="s">
        <v>119</v>
      </c>
      <c r="K58" t="s">
        <v>41</v>
      </c>
      <c r="L58" s="13">
        <f t="shared" ca="1" si="3"/>
        <v>45860</v>
      </c>
      <c r="M58" t="s">
        <v>36</v>
      </c>
      <c r="P58" t="s">
        <v>119</v>
      </c>
      <c r="Q58" t="s">
        <v>119</v>
      </c>
      <c r="R58" t="s">
        <v>119</v>
      </c>
      <c r="S58" t="s">
        <v>47</v>
      </c>
      <c r="T58" t="s">
        <v>47</v>
      </c>
    </row>
    <row r="59" spans="1:20" x14ac:dyDescent="0.2">
      <c r="A59" t="s">
        <v>563</v>
      </c>
      <c r="B59" t="str">
        <f t="shared" si="2"/>
        <v>Excel_Internal_Draft.weekly status summary</v>
      </c>
      <c r="C59" t="str">
        <f t="shared" ca="1" si="1"/>
        <v>Excel_WeeklyStatusSummary_Internal_2025-08-06_Draft</v>
      </c>
      <c r="D59" t="s">
        <v>657</v>
      </c>
      <c r="E59" t="s">
        <v>663</v>
      </c>
      <c r="F59" t="s">
        <v>655</v>
      </c>
      <c r="G59" t="s">
        <v>30</v>
      </c>
      <c r="H59" t="s">
        <v>147</v>
      </c>
      <c r="I59" t="s">
        <v>41</v>
      </c>
      <c r="J59" t="s">
        <v>119</v>
      </c>
      <c r="K59" t="s">
        <v>41</v>
      </c>
      <c r="L59" s="13">
        <f t="shared" ca="1" si="3"/>
        <v>45875</v>
      </c>
      <c r="M59" t="s">
        <v>36</v>
      </c>
      <c r="P59" t="s">
        <v>119</v>
      </c>
      <c r="Q59" t="s">
        <v>119</v>
      </c>
      <c r="R59" t="s">
        <v>119</v>
      </c>
      <c r="S59" t="s">
        <v>47</v>
      </c>
      <c r="T59" t="s">
        <v>47</v>
      </c>
    </row>
    <row r="60" spans="1:20" x14ac:dyDescent="0.2">
      <c r="A60" t="s">
        <v>564</v>
      </c>
      <c r="B60" t="str">
        <f t="shared" si="2"/>
        <v>PowerPoint_Internal_Draft.dashboard deck</v>
      </c>
      <c r="C60" t="str">
        <f t="shared" ca="1" si="1"/>
        <v>PowerPoint_DashboardDeck_Internal_2025-08-21_Draft</v>
      </c>
      <c r="D60" t="s">
        <v>657</v>
      </c>
      <c r="E60" t="s">
        <v>663</v>
      </c>
      <c r="F60" t="s">
        <v>655</v>
      </c>
      <c r="G60" t="s">
        <v>159</v>
      </c>
      <c r="H60" t="s">
        <v>160</v>
      </c>
      <c r="I60" t="s">
        <v>41</v>
      </c>
      <c r="J60" t="s">
        <v>119</v>
      </c>
      <c r="K60" t="s">
        <v>41</v>
      </c>
      <c r="L60" s="13">
        <f t="shared" ca="1" si="3"/>
        <v>45890</v>
      </c>
      <c r="M60" t="s">
        <v>36</v>
      </c>
      <c r="P60" t="s">
        <v>119</v>
      </c>
      <c r="Q60" t="s">
        <v>119</v>
      </c>
      <c r="R60" t="s">
        <v>119</v>
      </c>
      <c r="S60" t="s">
        <v>47</v>
      </c>
      <c r="T60" t="s">
        <v>47</v>
      </c>
    </row>
    <row r="61" spans="1:20" x14ac:dyDescent="0.2">
      <c r="A61" t="s">
        <v>565</v>
      </c>
      <c r="B61" t="str">
        <f t="shared" si="2"/>
        <v>Excel_Internal_Final.dashboard deck</v>
      </c>
      <c r="C61" t="str">
        <f t="shared" ca="1" si="1"/>
        <v>Excel_DashboardDeck_Internal_2025-02-08_Final</v>
      </c>
      <c r="D61" t="s">
        <v>657</v>
      </c>
      <c r="E61" t="s">
        <v>663</v>
      </c>
      <c r="F61" t="s">
        <v>655</v>
      </c>
      <c r="G61" t="s">
        <v>30</v>
      </c>
      <c r="H61" t="s">
        <v>160</v>
      </c>
      <c r="I61" t="s">
        <v>41</v>
      </c>
      <c r="J61" t="s">
        <v>119</v>
      </c>
      <c r="K61" t="s">
        <v>41</v>
      </c>
      <c r="L61" s="13">
        <f t="shared" ca="1" si="3"/>
        <v>45696</v>
      </c>
      <c r="M61" t="s">
        <v>37</v>
      </c>
      <c r="P61" t="s">
        <v>119</v>
      </c>
      <c r="Q61" t="s">
        <v>119</v>
      </c>
      <c r="R61" t="s">
        <v>119</v>
      </c>
      <c r="S61" t="s">
        <v>47</v>
      </c>
      <c r="T61" t="s">
        <v>47</v>
      </c>
    </row>
    <row r="62" spans="1:20" x14ac:dyDescent="0.2">
      <c r="A62" t="s">
        <v>566</v>
      </c>
      <c r="B62" t="str">
        <f t="shared" si="2"/>
        <v>Excel_Internal_Final.dashboard deck</v>
      </c>
      <c r="C62" t="str">
        <f t="shared" ca="1" si="1"/>
        <v>Excel_DashboardDeck_Internal_2025-10-20_Final</v>
      </c>
      <c r="D62" t="s">
        <v>657</v>
      </c>
      <c r="E62" t="s">
        <v>663</v>
      </c>
      <c r="F62" t="s">
        <v>655</v>
      </c>
      <c r="G62" t="s">
        <v>30</v>
      </c>
      <c r="H62" t="s">
        <v>160</v>
      </c>
      <c r="I62" t="s">
        <v>41</v>
      </c>
      <c r="J62" t="s">
        <v>119</v>
      </c>
      <c r="K62" t="s">
        <v>41</v>
      </c>
      <c r="L62" s="13">
        <f t="shared" ca="1" si="3"/>
        <v>45950</v>
      </c>
      <c r="M62" t="s">
        <v>37</v>
      </c>
      <c r="P62" t="s">
        <v>119</v>
      </c>
      <c r="Q62" t="s">
        <v>119</v>
      </c>
      <c r="R62" t="s">
        <v>119</v>
      </c>
      <c r="S62" t="s">
        <v>47</v>
      </c>
      <c r="T62" t="s">
        <v>47</v>
      </c>
    </row>
    <row r="63" spans="1:20" x14ac:dyDescent="0.2">
      <c r="A63" t="s">
        <v>567</v>
      </c>
      <c r="B63" t="str">
        <f t="shared" si="2"/>
        <v>Excel_Internal_Final.summary table</v>
      </c>
      <c r="C63" t="str">
        <f t="shared" ca="1" si="1"/>
        <v>Excel_SummaryTable_Internal_2025-03-24_Final</v>
      </c>
      <c r="D63" t="s">
        <v>658</v>
      </c>
      <c r="E63" t="s">
        <v>659</v>
      </c>
      <c r="F63" t="s">
        <v>39</v>
      </c>
      <c r="G63" t="s">
        <v>30</v>
      </c>
      <c r="H63" t="s">
        <v>173</v>
      </c>
      <c r="I63" t="s">
        <v>41</v>
      </c>
      <c r="J63" t="s">
        <v>119</v>
      </c>
      <c r="K63" t="s">
        <v>41</v>
      </c>
      <c r="L63" s="13">
        <f t="shared" ca="1" si="3"/>
        <v>45740</v>
      </c>
      <c r="M63" t="s">
        <v>37</v>
      </c>
      <c r="P63" t="s">
        <v>119</v>
      </c>
      <c r="Q63" t="s">
        <v>119</v>
      </c>
      <c r="R63" t="s">
        <v>119</v>
      </c>
      <c r="S63" t="s">
        <v>47</v>
      </c>
      <c r="T63" t="s">
        <v>47</v>
      </c>
    </row>
    <row r="64" spans="1:20" x14ac:dyDescent="0.2">
      <c r="A64" t="s">
        <v>568</v>
      </c>
      <c r="B64" t="str">
        <f t="shared" si="2"/>
        <v>Word_Internal_Draft.summary table</v>
      </c>
      <c r="C64" t="str">
        <f t="shared" ca="1" si="1"/>
        <v>Word_SummaryTable_Internal_2025-02-13_Draft</v>
      </c>
      <c r="D64" t="s">
        <v>658</v>
      </c>
      <c r="E64" t="s">
        <v>659</v>
      </c>
      <c r="F64" t="s">
        <v>39</v>
      </c>
      <c r="G64" t="s">
        <v>31</v>
      </c>
      <c r="H64" t="s">
        <v>173</v>
      </c>
      <c r="I64" t="s">
        <v>41</v>
      </c>
      <c r="J64" t="s">
        <v>119</v>
      </c>
      <c r="K64" t="s">
        <v>41</v>
      </c>
      <c r="L64" s="13">
        <f t="shared" ca="1" si="3"/>
        <v>45701</v>
      </c>
      <c r="M64" t="s">
        <v>36</v>
      </c>
      <c r="P64" t="s">
        <v>119</v>
      </c>
      <c r="Q64" t="s">
        <v>119</v>
      </c>
      <c r="R64" t="s">
        <v>119</v>
      </c>
      <c r="S64" t="s">
        <v>47</v>
      </c>
      <c r="T64" t="s">
        <v>47</v>
      </c>
    </row>
    <row r="65" spans="1:20" x14ac:dyDescent="0.2">
      <c r="A65" t="s">
        <v>569</v>
      </c>
      <c r="B65" t="str">
        <f t="shared" si="2"/>
        <v>Excel_Internal_Superseded.chart drafts</v>
      </c>
      <c r="C65" t="str">
        <f t="shared" ca="1" si="1"/>
        <v>Excel_ChartDrafts_Internal_2025-07-22_Superseded</v>
      </c>
      <c r="D65" t="s">
        <v>658</v>
      </c>
      <c r="E65" t="s">
        <v>659</v>
      </c>
      <c r="F65" t="s">
        <v>39</v>
      </c>
      <c r="G65" t="s">
        <v>30</v>
      </c>
      <c r="H65" t="s">
        <v>182</v>
      </c>
      <c r="I65" t="s">
        <v>41</v>
      </c>
      <c r="J65" t="s">
        <v>119</v>
      </c>
      <c r="K65" t="s">
        <v>41</v>
      </c>
      <c r="L65" s="13">
        <f t="shared" ca="1" si="3"/>
        <v>45860</v>
      </c>
      <c r="M65" t="s">
        <v>131</v>
      </c>
      <c r="P65" t="s">
        <v>119</v>
      </c>
      <c r="Q65" t="s">
        <v>94</v>
      </c>
      <c r="R65" t="s">
        <v>119</v>
      </c>
      <c r="S65" t="s">
        <v>47</v>
      </c>
      <c r="T65" t="s">
        <v>47</v>
      </c>
    </row>
    <row r="66" spans="1:20" x14ac:dyDescent="0.2">
      <c r="A66" t="s">
        <v>570</v>
      </c>
      <c r="B66" t="str">
        <f t="shared" si="2"/>
        <v>Excel_Internal_Draft.weekly status summary</v>
      </c>
      <c r="C66" t="str">
        <f t="shared" ref="C66:C97" ca="1" si="5">SUBSTITUTE(_xlfn.TEXTJOIN("_", TRUE, G66, H66, SUBSTITUTE(I66, " ", ""), TEXT(L66, "yyyy-mm-dd"), M66), " ", "")</f>
        <v>Excel_WeeklyStatusSummary_Internal_2025-11-13_Draft</v>
      </c>
      <c r="D66" t="s">
        <v>658</v>
      </c>
      <c r="E66" t="s">
        <v>659</v>
      </c>
      <c r="F66" t="s">
        <v>39</v>
      </c>
      <c r="G66" t="s">
        <v>30</v>
      </c>
      <c r="H66" t="s">
        <v>147</v>
      </c>
      <c r="I66" t="s">
        <v>41</v>
      </c>
      <c r="J66" t="s">
        <v>119</v>
      </c>
      <c r="K66" t="s">
        <v>41</v>
      </c>
      <c r="L66" s="13">
        <f t="shared" ca="1" si="3"/>
        <v>45974</v>
      </c>
      <c r="M66" t="s">
        <v>36</v>
      </c>
      <c r="P66" t="s">
        <v>119</v>
      </c>
      <c r="Q66" t="s">
        <v>119</v>
      </c>
      <c r="R66" t="s">
        <v>119</v>
      </c>
      <c r="S66" t="s">
        <v>47</v>
      </c>
      <c r="T66" t="s">
        <v>47</v>
      </c>
    </row>
    <row r="67" spans="1:20" x14ac:dyDescent="0.2">
      <c r="A67" t="s">
        <v>571</v>
      </c>
      <c r="B67" t="str">
        <f t="shared" si="2"/>
        <v>Excel_Internal_Superseded.dashboard deck</v>
      </c>
      <c r="C67" t="str">
        <f t="shared" ca="1" si="5"/>
        <v>Excel_DashboardDeck_Internal_2025-05-03_Superseded</v>
      </c>
      <c r="D67" t="s">
        <v>658</v>
      </c>
      <c r="E67" t="s">
        <v>659</v>
      </c>
      <c r="F67" t="s">
        <v>39</v>
      </c>
      <c r="G67" t="s">
        <v>30</v>
      </c>
      <c r="H67" t="s">
        <v>160</v>
      </c>
      <c r="I67" t="s">
        <v>41</v>
      </c>
      <c r="J67" t="s">
        <v>119</v>
      </c>
      <c r="K67" t="s">
        <v>41</v>
      </c>
      <c r="L67" s="13">
        <f t="shared" ca="1" si="3"/>
        <v>45780</v>
      </c>
      <c r="M67" t="s">
        <v>131</v>
      </c>
      <c r="P67" t="s">
        <v>119</v>
      </c>
      <c r="Q67" t="s">
        <v>94</v>
      </c>
      <c r="R67" t="s">
        <v>119</v>
      </c>
      <c r="S67" t="s">
        <v>47</v>
      </c>
      <c r="T67" t="s">
        <v>47</v>
      </c>
    </row>
    <row r="68" spans="1:20" x14ac:dyDescent="0.2">
      <c r="A68" t="s">
        <v>572</v>
      </c>
      <c r="B68" t="str">
        <f t="shared" si="2"/>
        <v>Excel_Internal_Draft.dashboard deck</v>
      </c>
      <c r="C68" t="str">
        <f t="shared" ca="1" si="5"/>
        <v>Excel_DashboardDeck_Internal_2025-01-08_Draft</v>
      </c>
      <c r="D68" t="s">
        <v>658</v>
      </c>
      <c r="E68" t="s">
        <v>659</v>
      </c>
      <c r="F68" t="s">
        <v>39</v>
      </c>
      <c r="G68" t="s">
        <v>30</v>
      </c>
      <c r="H68" t="s">
        <v>160</v>
      </c>
      <c r="I68" t="s">
        <v>41</v>
      </c>
      <c r="J68" t="s">
        <v>119</v>
      </c>
      <c r="K68" t="s">
        <v>41</v>
      </c>
      <c r="L68" s="13">
        <f t="shared" ca="1" si="3"/>
        <v>45665</v>
      </c>
      <c r="M68" t="s">
        <v>36</v>
      </c>
      <c r="P68" t="s">
        <v>119</v>
      </c>
      <c r="Q68" t="s">
        <v>119</v>
      </c>
      <c r="R68" t="s">
        <v>119</v>
      </c>
      <c r="S68" t="s">
        <v>47</v>
      </c>
      <c r="T68" t="s">
        <v>47</v>
      </c>
    </row>
    <row r="69" spans="1:20" x14ac:dyDescent="0.2">
      <c r="A69" t="s">
        <v>573</v>
      </c>
      <c r="B69" t="str">
        <f t="shared" si="2"/>
        <v>Excel_Internal_Final.dashboard deck</v>
      </c>
      <c r="C69" t="str">
        <f t="shared" ca="1" si="5"/>
        <v>Excel_DashboardDeck_Internal_2025-02-21_Final</v>
      </c>
      <c r="D69" t="s">
        <v>658</v>
      </c>
      <c r="E69" t="s">
        <v>659</v>
      </c>
      <c r="F69" t="s">
        <v>39</v>
      </c>
      <c r="G69" t="s">
        <v>30</v>
      </c>
      <c r="H69" t="s">
        <v>160</v>
      </c>
      <c r="I69" t="s">
        <v>41</v>
      </c>
      <c r="J69" t="s">
        <v>119</v>
      </c>
      <c r="K69" t="s">
        <v>41</v>
      </c>
      <c r="L69" s="13">
        <f t="shared" ca="1" si="3"/>
        <v>45709</v>
      </c>
      <c r="M69" t="s">
        <v>37</v>
      </c>
      <c r="P69" t="s">
        <v>119</v>
      </c>
      <c r="Q69" t="s">
        <v>119</v>
      </c>
      <c r="R69" t="s">
        <v>119</v>
      </c>
      <c r="S69" t="s">
        <v>47</v>
      </c>
      <c r="T69" t="s">
        <v>47</v>
      </c>
    </row>
    <row r="70" spans="1:20" x14ac:dyDescent="0.2">
      <c r="A70" t="s">
        <v>574</v>
      </c>
      <c r="B70" t="str">
        <f t="shared" si="2"/>
        <v>Excel_Internal_Draft.summary table</v>
      </c>
      <c r="C70" t="str">
        <f t="shared" ca="1" si="5"/>
        <v>Excel_SummaryTable_Internal_2025-04-28_Draft</v>
      </c>
      <c r="D70" t="s">
        <v>658</v>
      </c>
      <c r="E70" t="s">
        <v>659</v>
      </c>
      <c r="F70" t="s">
        <v>39</v>
      </c>
      <c r="G70" t="s">
        <v>30</v>
      </c>
      <c r="H70" t="s">
        <v>173</v>
      </c>
      <c r="I70" t="s">
        <v>41</v>
      </c>
      <c r="J70" t="s">
        <v>119</v>
      </c>
      <c r="K70" t="s">
        <v>41</v>
      </c>
      <c r="L70" s="13">
        <f t="shared" ca="1" si="3"/>
        <v>45775</v>
      </c>
      <c r="M70" t="s">
        <v>36</v>
      </c>
      <c r="P70" t="s">
        <v>119</v>
      </c>
      <c r="Q70" t="s">
        <v>119</v>
      </c>
      <c r="R70" t="s">
        <v>119</v>
      </c>
      <c r="S70" t="s">
        <v>47</v>
      </c>
      <c r="T70" t="s">
        <v>47</v>
      </c>
    </row>
    <row r="71" spans="1:20" x14ac:dyDescent="0.2">
      <c r="A71" t="s">
        <v>575</v>
      </c>
      <c r="B71" t="str">
        <f t="shared" si="2"/>
        <v>Word_Internal_Draft.summary table</v>
      </c>
      <c r="C71" t="str">
        <f t="shared" ca="1" si="5"/>
        <v>Word_SummaryTable_Internal_2025-08-12_Draft</v>
      </c>
      <c r="D71" t="s">
        <v>658</v>
      </c>
      <c r="E71" t="s">
        <v>659</v>
      </c>
      <c r="F71" t="s">
        <v>39</v>
      </c>
      <c r="G71" t="s">
        <v>31</v>
      </c>
      <c r="H71" t="s">
        <v>173</v>
      </c>
      <c r="I71" t="s">
        <v>41</v>
      </c>
      <c r="J71" t="s">
        <v>119</v>
      </c>
      <c r="K71" t="s">
        <v>42</v>
      </c>
      <c r="L71" s="13">
        <f t="shared" ca="1" si="3"/>
        <v>45881</v>
      </c>
      <c r="M71" t="s">
        <v>36</v>
      </c>
      <c r="P71" t="s">
        <v>119</v>
      </c>
      <c r="Q71" t="s">
        <v>119</v>
      </c>
      <c r="R71" t="s">
        <v>119</v>
      </c>
      <c r="S71" t="s">
        <v>47</v>
      </c>
      <c r="T71" t="s">
        <v>47</v>
      </c>
    </row>
    <row r="72" spans="1:20" x14ac:dyDescent="0.2">
      <c r="A72" t="s">
        <v>576</v>
      </c>
      <c r="B72" t="str">
        <f t="shared" si="2"/>
        <v>Word_Internal_Draft.chart drafts</v>
      </c>
      <c r="C72" t="str">
        <f t="shared" ca="1" si="5"/>
        <v>Word_ChartDrafts_Internal_2025-12-21_Draft</v>
      </c>
      <c r="D72" t="s">
        <v>192</v>
      </c>
      <c r="E72" t="s">
        <v>660</v>
      </c>
      <c r="F72" t="s">
        <v>27</v>
      </c>
      <c r="G72" t="s">
        <v>31</v>
      </c>
      <c r="H72" t="s">
        <v>182</v>
      </c>
      <c r="I72" t="s">
        <v>41</v>
      </c>
      <c r="J72" t="s">
        <v>119</v>
      </c>
      <c r="K72" t="s">
        <v>42</v>
      </c>
      <c r="L72" s="13">
        <f t="shared" ca="1" si="3"/>
        <v>46012</v>
      </c>
      <c r="M72" t="s">
        <v>36</v>
      </c>
      <c r="P72" t="s">
        <v>119</v>
      </c>
      <c r="Q72" t="s">
        <v>119</v>
      </c>
      <c r="R72" t="s">
        <v>119</v>
      </c>
      <c r="S72" t="s">
        <v>47</v>
      </c>
      <c r="T72" t="s">
        <v>47</v>
      </c>
    </row>
    <row r="73" spans="1:20" x14ac:dyDescent="0.2">
      <c r="A73" t="s">
        <v>577</v>
      </c>
      <c r="B73" t="str">
        <f t="shared" si="2"/>
        <v>PowerPoint_Internal_Final.briefing note</v>
      </c>
      <c r="C73" t="str">
        <f t="shared" ca="1" si="5"/>
        <v>PowerPoint_BriefingNote_Internal_2025-04-22_Final</v>
      </c>
      <c r="D73" t="s">
        <v>192</v>
      </c>
      <c r="E73" t="s">
        <v>660</v>
      </c>
      <c r="F73" t="s">
        <v>27</v>
      </c>
      <c r="G73" t="s">
        <v>159</v>
      </c>
      <c r="H73" t="s">
        <v>187</v>
      </c>
      <c r="I73" t="s">
        <v>41</v>
      </c>
      <c r="J73" t="s">
        <v>119</v>
      </c>
      <c r="K73" t="s">
        <v>42</v>
      </c>
      <c r="L73" s="13">
        <f t="shared" ca="1" si="3"/>
        <v>45769</v>
      </c>
      <c r="M73" t="s">
        <v>37</v>
      </c>
      <c r="P73" t="s">
        <v>119</v>
      </c>
      <c r="Q73" t="s">
        <v>119</v>
      </c>
      <c r="R73" t="s">
        <v>119</v>
      </c>
      <c r="S73" t="s">
        <v>47</v>
      </c>
      <c r="T73" t="s">
        <v>47</v>
      </c>
    </row>
    <row r="74" spans="1:20" x14ac:dyDescent="0.2">
      <c r="A74" t="s">
        <v>578</v>
      </c>
      <c r="B74" t="str">
        <f t="shared" si="2"/>
        <v>PowerPoint_Internal_Superseded.transitory</v>
      </c>
      <c r="C74" t="str">
        <f t="shared" ca="1" si="5"/>
        <v>PowerPoint_Transitory_Internal_2025-08-13_Superseded</v>
      </c>
      <c r="D74" t="s">
        <v>192</v>
      </c>
      <c r="E74" t="s">
        <v>660</v>
      </c>
      <c r="F74" t="s">
        <v>27</v>
      </c>
      <c r="G74" t="s">
        <v>159</v>
      </c>
      <c r="H74" t="s">
        <v>273</v>
      </c>
      <c r="I74" t="s">
        <v>41</v>
      </c>
      <c r="J74" t="s">
        <v>119</v>
      </c>
      <c r="K74" t="s">
        <v>42</v>
      </c>
      <c r="L74" s="13">
        <f t="shared" ca="1" si="3"/>
        <v>45882</v>
      </c>
      <c r="M74" t="s">
        <v>131</v>
      </c>
      <c r="P74" t="s">
        <v>119</v>
      </c>
      <c r="Q74" t="s">
        <v>94</v>
      </c>
      <c r="R74" t="s">
        <v>94</v>
      </c>
      <c r="S74" t="s">
        <v>47</v>
      </c>
      <c r="T74" t="s">
        <v>47</v>
      </c>
    </row>
    <row r="75" spans="1:20" x14ac:dyDescent="0.2">
      <c r="A75" t="s">
        <v>579</v>
      </c>
      <c r="B75" t="str">
        <f t="shared" si="2"/>
        <v>PowerPoint_Internal_Final.meeting notes</v>
      </c>
      <c r="C75" t="str">
        <f t="shared" ca="1" si="5"/>
        <v>PowerPoint_MeetingNotes_Internal_2025-10-02_Final</v>
      </c>
      <c r="D75" t="s">
        <v>192</v>
      </c>
      <c r="E75" t="s">
        <v>660</v>
      </c>
      <c r="F75" t="s">
        <v>27</v>
      </c>
      <c r="G75" t="s">
        <v>159</v>
      </c>
      <c r="H75" t="s">
        <v>250</v>
      </c>
      <c r="I75" t="s">
        <v>41</v>
      </c>
      <c r="J75" t="s">
        <v>119</v>
      </c>
      <c r="K75" t="s">
        <v>42</v>
      </c>
      <c r="L75" s="13">
        <f t="shared" ca="1" si="3"/>
        <v>45932</v>
      </c>
      <c r="M75" t="s">
        <v>37</v>
      </c>
      <c r="P75" t="s">
        <v>119</v>
      </c>
      <c r="Q75" t="s">
        <v>119</v>
      </c>
      <c r="R75" t="s">
        <v>119</v>
      </c>
      <c r="S75" t="s">
        <v>47</v>
      </c>
      <c r="T75" t="s">
        <v>47</v>
      </c>
    </row>
    <row r="76" spans="1:20" x14ac:dyDescent="0.2">
      <c r="A76" t="s">
        <v>580</v>
      </c>
      <c r="B76" t="str">
        <f t="shared" si="2"/>
        <v>Excel_Internal_Draft.meeting notes</v>
      </c>
      <c r="C76" t="str">
        <f t="shared" ca="1" si="5"/>
        <v>Excel_MeetingNotes_Internal_2025-02-12_Draft</v>
      </c>
      <c r="D76" t="s">
        <v>192</v>
      </c>
      <c r="E76" t="s">
        <v>660</v>
      </c>
      <c r="F76" t="s">
        <v>27</v>
      </c>
      <c r="G76" t="s">
        <v>30</v>
      </c>
      <c r="H76" t="s">
        <v>250</v>
      </c>
      <c r="I76" t="s">
        <v>41</v>
      </c>
      <c r="J76" t="s">
        <v>119</v>
      </c>
      <c r="K76" t="s">
        <v>42</v>
      </c>
      <c r="L76" s="13">
        <f t="shared" ca="1" si="3"/>
        <v>45700</v>
      </c>
      <c r="M76" t="s">
        <v>36</v>
      </c>
      <c r="P76" t="s">
        <v>119</v>
      </c>
      <c r="Q76" t="s">
        <v>119</v>
      </c>
      <c r="R76" t="s">
        <v>119</v>
      </c>
      <c r="S76" t="s">
        <v>47</v>
      </c>
      <c r="T76" t="s">
        <v>47</v>
      </c>
    </row>
    <row r="77" spans="1:20" x14ac:dyDescent="0.2">
      <c r="A77" t="s">
        <v>581</v>
      </c>
      <c r="B77" t="str">
        <f t="shared" si="2"/>
        <v>Excel_Internal_Final.approval record</v>
      </c>
      <c r="C77" t="str">
        <f t="shared" ca="1" si="5"/>
        <v>Excel_ApprovalRecord_Internal_2025-04-08_Final</v>
      </c>
      <c r="D77" t="s">
        <v>192</v>
      </c>
      <c r="E77" t="s">
        <v>660</v>
      </c>
      <c r="F77" t="s">
        <v>27</v>
      </c>
      <c r="G77" t="s">
        <v>30</v>
      </c>
      <c r="H77" t="s">
        <v>257</v>
      </c>
      <c r="I77" t="s">
        <v>41</v>
      </c>
      <c r="J77" t="s">
        <v>119</v>
      </c>
      <c r="K77" t="s">
        <v>42</v>
      </c>
      <c r="L77" s="13">
        <f t="shared" ca="1" si="3"/>
        <v>45755</v>
      </c>
      <c r="M77" t="s">
        <v>37</v>
      </c>
      <c r="P77" t="s">
        <v>119</v>
      </c>
      <c r="Q77" t="s">
        <v>119</v>
      </c>
      <c r="R77" t="s">
        <v>119</v>
      </c>
      <c r="S77" t="s">
        <v>47</v>
      </c>
      <c r="T77" t="s">
        <v>47</v>
      </c>
    </row>
    <row r="78" spans="1:20" x14ac:dyDescent="0.2">
      <c r="A78" t="s">
        <v>582</v>
      </c>
      <c r="B78" t="str">
        <f t="shared" si="2"/>
        <v>Excel_Internal_Draft.approval record</v>
      </c>
      <c r="C78" t="str">
        <f t="shared" ca="1" si="5"/>
        <v>Excel_ApprovalRecord_Internal_2025-11-01_Draft</v>
      </c>
      <c r="D78" t="s">
        <v>192</v>
      </c>
      <c r="E78" t="s">
        <v>660</v>
      </c>
      <c r="F78" t="s">
        <v>27</v>
      </c>
      <c r="G78" t="s">
        <v>30</v>
      </c>
      <c r="H78" t="s">
        <v>257</v>
      </c>
      <c r="I78" t="s">
        <v>41</v>
      </c>
      <c r="J78" t="s">
        <v>119</v>
      </c>
      <c r="K78" t="s">
        <v>42</v>
      </c>
      <c r="L78" s="13">
        <f t="shared" ca="1" si="3"/>
        <v>45962</v>
      </c>
      <c r="M78" t="s">
        <v>36</v>
      </c>
      <c r="P78" t="s">
        <v>119</v>
      </c>
      <c r="Q78" t="s">
        <v>119</v>
      </c>
      <c r="R78" t="s">
        <v>119</v>
      </c>
      <c r="S78" t="s">
        <v>47</v>
      </c>
      <c r="T78" t="s">
        <v>47</v>
      </c>
    </row>
    <row r="79" spans="1:20" x14ac:dyDescent="0.2">
      <c r="A79" t="s">
        <v>583</v>
      </c>
      <c r="B79" t="str">
        <f t="shared" si="2"/>
        <v>Word_Internal_Final.summary table</v>
      </c>
      <c r="C79" t="str">
        <f t="shared" ca="1" si="5"/>
        <v>Word_SummaryTable_Internal_2025-07-23_Final</v>
      </c>
      <c r="D79" t="s">
        <v>658</v>
      </c>
      <c r="E79" t="s">
        <v>158</v>
      </c>
      <c r="F79" t="s">
        <v>39</v>
      </c>
      <c r="G79" t="s">
        <v>31</v>
      </c>
      <c r="H79" t="s">
        <v>173</v>
      </c>
      <c r="I79" t="s">
        <v>41</v>
      </c>
      <c r="J79" t="s">
        <v>119</v>
      </c>
      <c r="K79" t="s">
        <v>41</v>
      </c>
      <c r="L79" s="13">
        <f t="shared" ca="1" si="3"/>
        <v>45861</v>
      </c>
      <c r="M79" t="s">
        <v>37</v>
      </c>
      <c r="P79" t="s">
        <v>119</v>
      </c>
      <c r="Q79" t="s">
        <v>119</v>
      </c>
      <c r="R79" t="s">
        <v>119</v>
      </c>
      <c r="S79" t="s">
        <v>47</v>
      </c>
      <c r="T79" t="s">
        <v>47</v>
      </c>
    </row>
    <row r="80" spans="1:20" x14ac:dyDescent="0.2">
      <c r="A80" t="s">
        <v>584</v>
      </c>
      <c r="B80" t="str">
        <f t="shared" si="2"/>
        <v>Excel_Internal_Final.chart drafts</v>
      </c>
      <c r="C80" t="str">
        <f t="shared" ca="1" si="5"/>
        <v>Excel_ChartDrafts_Internal_2025-05-28_Final</v>
      </c>
      <c r="D80" t="s">
        <v>658</v>
      </c>
      <c r="E80" t="s">
        <v>158</v>
      </c>
      <c r="F80" t="s">
        <v>39</v>
      </c>
      <c r="G80" t="s">
        <v>30</v>
      </c>
      <c r="H80" t="s">
        <v>182</v>
      </c>
      <c r="I80" t="s">
        <v>41</v>
      </c>
      <c r="J80" t="s">
        <v>119</v>
      </c>
      <c r="K80" t="s">
        <v>41</v>
      </c>
      <c r="L80" s="13">
        <f t="shared" ca="1" si="3"/>
        <v>45805</v>
      </c>
      <c r="M80" t="s">
        <v>37</v>
      </c>
      <c r="P80" t="s">
        <v>119</v>
      </c>
      <c r="Q80" t="s">
        <v>119</v>
      </c>
      <c r="R80" t="s">
        <v>119</v>
      </c>
      <c r="S80" t="s">
        <v>47</v>
      </c>
      <c r="T80" t="s">
        <v>47</v>
      </c>
    </row>
    <row r="81" spans="1:20" x14ac:dyDescent="0.2">
      <c r="A81" t="s">
        <v>585</v>
      </c>
      <c r="B81" t="str">
        <f t="shared" si="2"/>
        <v>Excel_Internal_Draft.briefing note</v>
      </c>
      <c r="C81" t="str">
        <f t="shared" ca="1" si="5"/>
        <v>Excel_BriefingNote_Internal_2025-04-23_Draft</v>
      </c>
      <c r="D81" t="s">
        <v>658</v>
      </c>
      <c r="E81" t="s">
        <v>158</v>
      </c>
      <c r="F81" t="s">
        <v>39</v>
      </c>
      <c r="G81" t="s">
        <v>30</v>
      </c>
      <c r="H81" t="s">
        <v>187</v>
      </c>
      <c r="I81" t="s">
        <v>41</v>
      </c>
      <c r="J81" t="s">
        <v>119</v>
      </c>
      <c r="K81" t="s">
        <v>41</v>
      </c>
      <c r="L81" s="13">
        <f t="shared" ca="1" si="3"/>
        <v>45770</v>
      </c>
      <c r="M81" t="s">
        <v>36</v>
      </c>
      <c r="P81" t="s">
        <v>119</v>
      </c>
      <c r="Q81" t="s">
        <v>119</v>
      </c>
      <c r="R81" t="s">
        <v>119</v>
      </c>
      <c r="S81" t="s">
        <v>47</v>
      </c>
      <c r="T81" t="s">
        <v>47</v>
      </c>
    </row>
    <row r="82" spans="1:20" x14ac:dyDescent="0.2">
      <c r="A82" t="s">
        <v>586</v>
      </c>
      <c r="B82" t="str">
        <f t="shared" si="2"/>
        <v>Excel_Internal_Draft.transitory</v>
      </c>
      <c r="C82" t="str">
        <f t="shared" ca="1" si="5"/>
        <v>Excel_Transitory_Internal_2025-01-08_Draft</v>
      </c>
      <c r="D82" t="s">
        <v>658</v>
      </c>
      <c r="E82" t="s">
        <v>158</v>
      </c>
      <c r="F82" t="s">
        <v>39</v>
      </c>
      <c r="G82" t="s">
        <v>30</v>
      </c>
      <c r="H82" t="s">
        <v>273</v>
      </c>
      <c r="I82" t="s">
        <v>41</v>
      </c>
      <c r="J82" t="s">
        <v>119</v>
      </c>
      <c r="K82" t="s">
        <v>41</v>
      </c>
      <c r="L82" s="13">
        <f t="shared" ca="1" si="3"/>
        <v>45665</v>
      </c>
      <c r="M82" t="s">
        <v>36</v>
      </c>
      <c r="P82" t="s">
        <v>119</v>
      </c>
      <c r="Q82" t="s">
        <v>119</v>
      </c>
      <c r="R82" t="s">
        <v>94</v>
      </c>
      <c r="S82" t="s">
        <v>47</v>
      </c>
      <c r="T82" t="s">
        <v>47</v>
      </c>
    </row>
    <row r="83" spans="1:20" x14ac:dyDescent="0.2">
      <c r="A83" t="s">
        <v>587</v>
      </c>
      <c r="B83" t="str">
        <f t="shared" si="2"/>
        <v>Word_Internal_Draft.meeting notes</v>
      </c>
      <c r="C83" t="str">
        <f t="shared" ca="1" si="5"/>
        <v>Word_MeetingNotes_Internal_2025-02-26_Draft</v>
      </c>
      <c r="D83" t="s">
        <v>658</v>
      </c>
      <c r="E83" t="s">
        <v>158</v>
      </c>
      <c r="F83" t="s">
        <v>39</v>
      </c>
      <c r="G83" t="s">
        <v>31</v>
      </c>
      <c r="H83" t="s">
        <v>250</v>
      </c>
      <c r="I83" t="s">
        <v>41</v>
      </c>
      <c r="J83" t="s">
        <v>119</v>
      </c>
      <c r="K83" t="s">
        <v>41</v>
      </c>
      <c r="L83" s="13">
        <f t="shared" ca="1" si="3"/>
        <v>45714</v>
      </c>
      <c r="M83" t="s">
        <v>36</v>
      </c>
      <c r="P83" t="s">
        <v>119</v>
      </c>
      <c r="Q83" t="s">
        <v>119</v>
      </c>
      <c r="R83" t="s">
        <v>119</v>
      </c>
      <c r="S83" t="s">
        <v>47</v>
      </c>
      <c r="T83" t="s">
        <v>47</v>
      </c>
    </row>
    <row r="84" spans="1:20" x14ac:dyDescent="0.2">
      <c r="A84" t="s">
        <v>588</v>
      </c>
      <c r="B84" t="str">
        <f t="shared" si="2"/>
        <v>Word_Internal_Final.meeting notes</v>
      </c>
      <c r="C84" t="str">
        <f t="shared" ca="1" si="5"/>
        <v>Word_MeetingNotes_Internal_2025-10-12_Final</v>
      </c>
      <c r="D84" t="s">
        <v>658</v>
      </c>
      <c r="E84" t="s">
        <v>158</v>
      </c>
      <c r="F84" t="s">
        <v>39</v>
      </c>
      <c r="G84" t="s">
        <v>31</v>
      </c>
      <c r="H84" t="s">
        <v>250</v>
      </c>
      <c r="I84" t="s">
        <v>41</v>
      </c>
      <c r="J84" t="s">
        <v>119</v>
      </c>
      <c r="K84" t="s">
        <v>41</v>
      </c>
      <c r="L84" s="13">
        <f t="shared" ca="1" si="3"/>
        <v>45942</v>
      </c>
      <c r="M84" t="s">
        <v>37</v>
      </c>
      <c r="P84" t="s">
        <v>119</v>
      </c>
      <c r="Q84" t="s">
        <v>119</v>
      </c>
      <c r="R84" t="s">
        <v>119</v>
      </c>
      <c r="S84" t="s">
        <v>47</v>
      </c>
      <c r="T84" t="s">
        <v>47</v>
      </c>
    </row>
    <row r="85" spans="1:20" x14ac:dyDescent="0.2">
      <c r="A85" t="s">
        <v>589</v>
      </c>
      <c r="B85" t="str">
        <f t="shared" si="2"/>
        <v>Word_Internal_Final.approval record</v>
      </c>
      <c r="C85" t="str">
        <f t="shared" ca="1" si="5"/>
        <v>Word_ApprovalRecord_Internal_2025-09-14_Final</v>
      </c>
      <c r="D85" t="s">
        <v>658</v>
      </c>
      <c r="E85" t="s">
        <v>158</v>
      </c>
      <c r="F85" t="s">
        <v>39</v>
      </c>
      <c r="G85" t="s">
        <v>31</v>
      </c>
      <c r="H85" t="s">
        <v>257</v>
      </c>
      <c r="I85" t="s">
        <v>41</v>
      </c>
      <c r="J85" t="s">
        <v>119</v>
      </c>
      <c r="K85" t="s">
        <v>41</v>
      </c>
      <c r="L85" s="13">
        <f t="shared" ca="1" si="3"/>
        <v>45914</v>
      </c>
      <c r="M85" t="s">
        <v>37</v>
      </c>
      <c r="P85" t="s">
        <v>119</v>
      </c>
      <c r="Q85" t="s">
        <v>119</v>
      </c>
      <c r="R85" t="s">
        <v>119</v>
      </c>
      <c r="S85" t="s">
        <v>47</v>
      </c>
      <c r="T85" t="s">
        <v>47</v>
      </c>
    </row>
    <row r="86" spans="1:20" x14ac:dyDescent="0.2">
      <c r="A86" t="s">
        <v>590</v>
      </c>
      <c r="B86" t="str">
        <f t="shared" si="2"/>
        <v>PowerPoint_Internal_Final.dashboard deck</v>
      </c>
      <c r="C86" t="str">
        <f t="shared" ca="1" si="5"/>
        <v>PowerPoint_DashboardDeck_Internal_2025-02-25_Final</v>
      </c>
      <c r="D86" t="s">
        <v>658</v>
      </c>
      <c r="E86" t="s">
        <v>158</v>
      </c>
      <c r="F86" t="s">
        <v>39</v>
      </c>
      <c r="G86" t="s">
        <v>159</v>
      </c>
      <c r="H86" t="s">
        <v>160</v>
      </c>
      <c r="I86" t="s">
        <v>41</v>
      </c>
      <c r="J86" t="s">
        <v>119</v>
      </c>
      <c r="K86" t="s">
        <v>41</v>
      </c>
      <c r="L86" s="13">
        <f t="shared" ca="1" si="3"/>
        <v>45713</v>
      </c>
      <c r="M86" t="s">
        <v>37</v>
      </c>
      <c r="P86" t="s">
        <v>119</v>
      </c>
      <c r="Q86" t="s">
        <v>119</v>
      </c>
      <c r="R86" t="s">
        <v>119</v>
      </c>
      <c r="S86" t="s">
        <v>47</v>
      </c>
      <c r="T86" t="s">
        <v>47</v>
      </c>
    </row>
    <row r="87" spans="1:20" x14ac:dyDescent="0.2">
      <c r="A87" t="s">
        <v>591</v>
      </c>
      <c r="B87" t="str">
        <f t="shared" si="2"/>
        <v>PowerPoint_Internal_Draft.dashboard deck</v>
      </c>
      <c r="C87" t="str">
        <f t="shared" ca="1" si="5"/>
        <v>PowerPoint_DashboardDeck_Internal_2025-10-15_Draft</v>
      </c>
      <c r="D87" t="s">
        <v>658</v>
      </c>
      <c r="E87" t="s">
        <v>158</v>
      </c>
      <c r="F87" t="s">
        <v>39</v>
      </c>
      <c r="G87" t="s">
        <v>159</v>
      </c>
      <c r="H87" t="s">
        <v>160</v>
      </c>
      <c r="I87" t="s">
        <v>41</v>
      </c>
      <c r="J87" t="s">
        <v>119</v>
      </c>
      <c r="K87" t="s">
        <v>41</v>
      </c>
      <c r="L87" s="13">
        <f t="shared" ca="1" si="3"/>
        <v>45945</v>
      </c>
      <c r="M87" t="s">
        <v>36</v>
      </c>
      <c r="P87" t="s">
        <v>119</v>
      </c>
      <c r="Q87" t="s">
        <v>119</v>
      </c>
      <c r="R87" t="s">
        <v>119</v>
      </c>
      <c r="S87" t="s">
        <v>47</v>
      </c>
      <c r="T87" t="s">
        <v>47</v>
      </c>
    </row>
    <row r="88" spans="1:20" x14ac:dyDescent="0.2">
      <c r="A88" t="s">
        <v>592</v>
      </c>
      <c r="B88" t="str">
        <f t="shared" si="2"/>
        <v>PowerPoint_Internal_Final.dashboard deck</v>
      </c>
      <c r="C88" t="str">
        <f t="shared" ca="1" si="5"/>
        <v>PowerPoint_DashboardDeck_Internal_2025-03-14_Final</v>
      </c>
      <c r="D88" t="s">
        <v>657</v>
      </c>
      <c r="E88" t="s">
        <v>663</v>
      </c>
      <c r="F88" t="s">
        <v>655</v>
      </c>
      <c r="G88" t="s">
        <v>159</v>
      </c>
      <c r="H88" t="s">
        <v>160</v>
      </c>
      <c r="I88" t="s">
        <v>41</v>
      </c>
      <c r="J88" t="s">
        <v>119</v>
      </c>
      <c r="K88" t="s">
        <v>41</v>
      </c>
      <c r="L88" s="13">
        <f t="shared" ca="1" si="3"/>
        <v>45730</v>
      </c>
      <c r="M88" t="s">
        <v>37</v>
      </c>
      <c r="P88" t="s">
        <v>119</v>
      </c>
      <c r="Q88" t="s">
        <v>119</v>
      </c>
      <c r="R88" t="s">
        <v>119</v>
      </c>
      <c r="S88" t="s">
        <v>47</v>
      </c>
      <c r="T88" t="s">
        <v>47</v>
      </c>
    </row>
    <row r="89" spans="1:20" x14ac:dyDescent="0.2">
      <c r="A89" t="s">
        <v>593</v>
      </c>
      <c r="B89" t="str">
        <f t="shared" si="2"/>
        <v xml:space="preserve">Excel_Internal_Draft.tax records </v>
      </c>
      <c r="C89" t="str">
        <f t="shared" ca="1" si="5"/>
        <v>Excel_TaxRecords_Internal_2025-07-04_Draft</v>
      </c>
      <c r="D89" t="s">
        <v>657</v>
      </c>
      <c r="E89" t="s">
        <v>663</v>
      </c>
      <c r="F89" t="s">
        <v>655</v>
      </c>
      <c r="G89" t="s">
        <v>30</v>
      </c>
      <c r="H89" t="s">
        <v>666</v>
      </c>
      <c r="I89" t="s">
        <v>41</v>
      </c>
      <c r="J89" t="s">
        <v>119</v>
      </c>
      <c r="K89" t="s">
        <v>41</v>
      </c>
      <c r="L89" s="13">
        <f t="shared" ca="1" si="3"/>
        <v>45842</v>
      </c>
      <c r="M89" t="s">
        <v>36</v>
      </c>
      <c r="P89" t="s">
        <v>119</v>
      </c>
      <c r="Q89" t="s">
        <v>119</v>
      </c>
      <c r="R89" t="s">
        <v>119</v>
      </c>
      <c r="S89" t="s">
        <v>47</v>
      </c>
      <c r="T89" t="s">
        <v>47</v>
      </c>
    </row>
    <row r="90" spans="1:20" x14ac:dyDescent="0.2">
      <c r="A90" t="s">
        <v>594</v>
      </c>
      <c r="B90" t="str">
        <f t="shared" si="2"/>
        <v>Excel_Internal_Draft.expense report</v>
      </c>
      <c r="C90" t="str">
        <f t="shared" ca="1" si="5"/>
        <v>Excel_ExpenseReport_Internal_2025-05-06_Draft</v>
      </c>
      <c r="D90" t="s">
        <v>657</v>
      </c>
      <c r="E90" t="s">
        <v>663</v>
      </c>
      <c r="F90" t="s">
        <v>655</v>
      </c>
      <c r="G90" t="s">
        <v>30</v>
      </c>
      <c r="H90" t="s">
        <v>667</v>
      </c>
      <c r="I90" t="s">
        <v>41</v>
      </c>
      <c r="J90" t="s">
        <v>119</v>
      </c>
      <c r="K90" t="s">
        <v>41</v>
      </c>
      <c r="L90" s="13">
        <f t="shared" ca="1" si="3"/>
        <v>45783</v>
      </c>
      <c r="M90" t="s">
        <v>36</v>
      </c>
      <c r="P90" t="s">
        <v>119</v>
      </c>
      <c r="Q90" t="s">
        <v>119</v>
      </c>
      <c r="R90" t="s">
        <v>119</v>
      </c>
      <c r="S90" t="s">
        <v>47</v>
      </c>
      <c r="T90" t="s">
        <v>47</v>
      </c>
    </row>
    <row r="91" spans="1:20" x14ac:dyDescent="0.2">
      <c r="A91" t="s">
        <v>595</v>
      </c>
      <c r="B91" t="str">
        <f t="shared" si="2"/>
        <v>Excel_Internal_Draft.expense report</v>
      </c>
      <c r="C91" t="str">
        <f t="shared" ca="1" si="5"/>
        <v>Excel_ExpenseReport_Internal_2025-04-06_Draft</v>
      </c>
      <c r="D91" t="s">
        <v>657</v>
      </c>
      <c r="E91" t="s">
        <v>663</v>
      </c>
      <c r="F91" t="s">
        <v>655</v>
      </c>
      <c r="G91" t="s">
        <v>30</v>
      </c>
      <c r="H91" t="s">
        <v>667</v>
      </c>
      <c r="I91" t="s">
        <v>41</v>
      </c>
      <c r="J91" t="s">
        <v>119</v>
      </c>
      <c r="K91" t="s">
        <v>41</v>
      </c>
      <c r="L91" s="13">
        <f t="shared" ca="1" si="3"/>
        <v>45753</v>
      </c>
      <c r="M91" t="s">
        <v>36</v>
      </c>
      <c r="P91" t="s">
        <v>119</v>
      </c>
      <c r="Q91" t="s">
        <v>119</v>
      </c>
      <c r="R91" t="s">
        <v>119</v>
      </c>
      <c r="S91" t="s">
        <v>47</v>
      </c>
      <c r="T91" t="s">
        <v>47</v>
      </c>
    </row>
    <row r="92" spans="1:20" x14ac:dyDescent="0.2">
      <c r="A92" t="s">
        <v>596</v>
      </c>
      <c r="B92" t="str">
        <f t="shared" si="2"/>
        <v>Word_Internal_Final.expense report</v>
      </c>
      <c r="C92" t="str">
        <f t="shared" ca="1" si="5"/>
        <v>Word_ExpenseReport_Internal_2025-09-04_Final</v>
      </c>
      <c r="D92" t="s">
        <v>657</v>
      </c>
      <c r="E92" t="s">
        <v>663</v>
      </c>
      <c r="F92" t="s">
        <v>655</v>
      </c>
      <c r="G92" t="s">
        <v>31</v>
      </c>
      <c r="H92" t="s">
        <v>667</v>
      </c>
      <c r="I92" t="s">
        <v>41</v>
      </c>
      <c r="J92" t="s">
        <v>119</v>
      </c>
      <c r="K92" t="s">
        <v>41</v>
      </c>
      <c r="L92" s="13">
        <f t="shared" ca="1" si="3"/>
        <v>45904</v>
      </c>
      <c r="M92" t="s">
        <v>37</v>
      </c>
      <c r="P92" t="s">
        <v>119</v>
      </c>
      <c r="Q92" t="s">
        <v>119</v>
      </c>
      <c r="R92" t="s">
        <v>119</v>
      </c>
      <c r="S92" t="s">
        <v>47</v>
      </c>
      <c r="T92" t="s">
        <v>47</v>
      </c>
    </row>
    <row r="93" spans="1:20" x14ac:dyDescent="0.2">
      <c r="A93" t="s">
        <v>597</v>
      </c>
      <c r="B93" t="str">
        <f t="shared" si="2"/>
        <v xml:space="preserve">Excel_Internal_Superseded.tax records </v>
      </c>
      <c r="C93" t="str">
        <f t="shared" ca="1" si="5"/>
        <v>Excel_TaxRecords_Internal_2025-01-20_Superseded</v>
      </c>
      <c r="D93" t="s">
        <v>657</v>
      </c>
      <c r="E93" t="s">
        <v>663</v>
      </c>
      <c r="F93" t="s">
        <v>655</v>
      </c>
      <c r="G93" t="s">
        <v>30</v>
      </c>
      <c r="H93" t="s">
        <v>666</v>
      </c>
      <c r="I93" t="s">
        <v>41</v>
      </c>
      <c r="J93" t="s">
        <v>119</v>
      </c>
      <c r="K93" t="s">
        <v>41</v>
      </c>
      <c r="L93" s="13">
        <f t="shared" ca="1" si="3"/>
        <v>45677</v>
      </c>
      <c r="M93" t="s">
        <v>131</v>
      </c>
      <c r="P93" t="s">
        <v>119</v>
      </c>
      <c r="Q93" t="s">
        <v>94</v>
      </c>
      <c r="R93" t="s">
        <v>119</v>
      </c>
      <c r="S93" t="s">
        <v>47</v>
      </c>
      <c r="T93" t="s">
        <v>47</v>
      </c>
    </row>
    <row r="94" spans="1:20" x14ac:dyDescent="0.2">
      <c r="A94" t="s">
        <v>598</v>
      </c>
      <c r="B94" t="str">
        <f t="shared" si="2"/>
        <v>Excel_Internal_Final.expense report</v>
      </c>
      <c r="C94" t="str">
        <f t="shared" ca="1" si="5"/>
        <v>Excel_ExpenseReport_Internal_2025-03-28_Final</v>
      </c>
      <c r="D94" t="s">
        <v>657</v>
      </c>
      <c r="E94" t="s">
        <v>663</v>
      </c>
      <c r="F94" t="s">
        <v>655</v>
      </c>
      <c r="G94" t="s">
        <v>30</v>
      </c>
      <c r="H94" t="s">
        <v>667</v>
      </c>
      <c r="I94" t="s">
        <v>41</v>
      </c>
      <c r="J94" t="s">
        <v>119</v>
      </c>
      <c r="K94" t="s">
        <v>41</v>
      </c>
      <c r="L94" s="13">
        <f t="shared" ca="1" si="3"/>
        <v>45744</v>
      </c>
      <c r="M94" t="s">
        <v>37</v>
      </c>
      <c r="P94" t="s">
        <v>119</v>
      </c>
      <c r="Q94" t="s">
        <v>119</v>
      </c>
      <c r="R94" t="s">
        <v>119</v>
      </c>
      <c r="S94" t="s">
        <v>47</v>
      </c>
      <c r="T94" t="s">
        <v>47</v>
      </c>
    </row>
    <row r="95" spans="1:20" x14ac:dyDescent="0.2">
      <c r="A95" t="s">
        <v>599</v>
      </c>
      <c r="B95" t="str">
        <f t="shared" si="2"/>
        <v>Excel_Internal_Draft.expense report</v>
      </c>
      <c r="C95" t="str">
        <f t="shared" ca="1" si="5"/>
        <v>Excel_ExpenseReport_Internal_2025-08-24_Draft</v>
      </c>
      <c r="D95" t="s">
        <v>657</v>
      </c>
      <c r="E95" t="s">
        <v>663</v>
      </c>
      <c r="F95" t="s">
        <v>655</v>
      </c>
      <c r="G95" t="s">
        <v>30</v>
      </c>
      <c r="H95" t="s">
        <v>667</v>
      </c>
      <c r="I95" t="s">
        <v>41</v>
      </c>
      <c r="J95" t="s">
        <v>119</v>
      </c>
      <c r="K95" t="s">
        <v>41</v>
      </c>
      <c r="L95" s="13">
        <f t="shared" ca="1" si="3"/>
        <v>45893</v>
      </c>
      <c r="M95" t="s">
        <v>36</v>
      </c>
      <c r="P95" t="s">
        <v>119</v>
      </c>
      <c r="Q95" t="s">
        <v>119</v>
      </c>
      <c r="R95" t="s">
        <v>119</v>
      </c>
      <c r="S95" t="s">
        <v>47</v>
      </c>
      <c r="T95" t="s">
        <v>47</v>
      </c>
    </row>
    <row r="96" spans="1:20" x14ac:dyDescent="0.2">
      <c r="A96" t="s">
        <v>600</v>
      </c>
      <c r="B96" t="str">
        <f t="shared" si="2"/>
        <v>PDF_Internal_Final.expense report</v>
      </c>
      <c r="C96" t="str">
        <f t="shared" ca="1" si="5"/>
        <v>PDF_ExpenseReport_Internal_2025-02-07_Final</v>
      </c>
      <c r="D96" t="s">
        <v>657</v>
      </c>
      <c r="E96" t="s">
        <v>663</v>
      </c>
      <c r="F96" t="s">
        <v>655</v>
      </c>
      <c r="G96" t="s">
        <v>32</v>
      </c>
      <c r="H96" t="s">
        <v>667</v>
      </c>
      <c r="I96" t="s">
        <v>41</v>
      </c>
      <c r="J96" t="s">
        <v>119</v>
      </c>
      <c r="K96" t="s">
        <v>41</v>
      </c>
      <c r="L96" s="13">
        <f t="shared" ca="1" si="3"/>
        <v>45695</v>
      </c>
      <c r="M96" t="s">
        <v>37</v>
      </c>
      <c r="P96" t="s">
        <v>119</v>
      </c>
      <c r="Q96" t="s">
        <v>119</v>
      </c>
      <c r="R96" t="s">
        <v>119</v>
      </c>
      <c r="S96" t="s">
        <v>47</v>
      </c>
      <c r="T96" t="s">
        <v>47</v>
      </c>
    </row>
    <row r="97" spans="1:20" x14ac:dyDescent="0.2">
      <c r="A97" t="s">
        <v>601</v>
      </c>
      <c r="B97" t="str">
        <f t="shared" si="2"/>
        <v>Word_Internal_Draft.approval record</v>
      </c>
      <c r="C97" t="str">
        <f t="shared" ca="1" si="5"/>
        <v>Word_ApprovalRecord_Internal_2025-06-07_Draft</v>
      </c>
      <c r="D97" t="s">
        <v>146</v>
      </c>
      <c r="E97" t="s">
        <v>158</v>
      </c>
      <c r="F97" t="s">
        <v>28</v>
      </c>
      <c r="G97" t="s">
        <v>31</v>
      </c>
      <c r="H97" t="s">
        <v>257</v>
      </c>
      <c r="I97" t="s">
        <v>41</v>
      </c>
      <c r="J97" t="s">
        <v>119</v>
      </c>
      <c r="K97" t="s">
        <v>41</v>
      </c>
      <c r="L97" s="13">
        <f t="shared" ca="1" si="3"/>
        <v>45815</v>
      </c>
      <c r="M97" t="s">
        <v>36</v>
      </c>
      <c r="P97" t="s">
        <v>119</v>
      </c>
      <c r="Q97" t="s">
        <v>119</v>
      </c>
      <c r="R97" t="s">
        <v>119</v>
      </c>
      <c r="S97" t="s">
        <v>47</v>
      </c>
      <c r="T97" t="s">
        <v>47</v>
      </c>
    </row>
    <row r="98" spans="1:20" x14ac:dyDescent="0.2">
      <c r="A98" t="s">
        <v>602</v>
      </c>
      <c r="B98" t="str">
        <f t="shared" si="2"/>
        <v>Word_Public_Final.summary table</v>
      </c>
      <c r="C98" t="str">
        <f t="shared" ref="C98:C129" ca="1" si="6">SUBSTITUTE(_xlfn.TEXTJOIN("_", TRUE, G98, H98, SUBSTITUTE(I98, " ", ""), TEXT(L98, "yyyy-mm-dd"), M98), " ", "")</f>
        <v>Word_SummaryTable_Public_2025-03-07_Final</v>
      </c>
      <c r="D98" t="s">
        <v>146</v>
      </c>
      <c r="E98" t="s">
        <v>158</v>
      </c>
      <c r="F98" t="s">
        <v>28</v>
      </c>
      <c r="G98" t="s">
        <v>31</v>
      </c>
      <c r="H98" t="s">
        <v>173</v>
      </c>
      <c r="I98" t="s">
        <v>0</v>
      </c>
      <c r="J98" t="s">
        <v>119</v>
      </c>
      <c r="K98" t="s">
        <v>41</v>
      </c>
      <c r="L98" s="13">
        <f t="shared" ca="1" si="3"/>
        <v>45723</v>
      </c>
      <c r="M98" t="s">
        <v>37</v>
      </c>
      <c r="P98" t="s">
        <v>119</v>
      </c>
      <c r="Q98" t="s">
        <v>119</v>
      </c>
      <c r="R98" t="s">
        <v>119</v>
      </c>
      <c r="S98" t="s">
        <v>47</v>
      </c>
      <c r="T98" t="s">
        <v>47</v>
      </c>
    </row>
    <row r="99" spans="1:20" x14ac:dyDescent="0.2">
      <c r="A99" t="s">
        <v>603</v>
      </c>
      <c r="B99" t="str">
        <f t="shared" si="2"/>
        <v>Excel_Public_Draft.chart drafts</v>
      </c>
      <c r="C99" t="str">
        <f t="shared" ca="1" si="6"/>
        <v>Excel_ChartDrafts_Public_2025-05-16_Draft</v>
      </c>
      <c r="D99" t="s">
        <v>146</v>
      </c>
      <c r="E99" t="s">
        <v>158</v>
      </c>
      <c r="F99" t="s">
        <v>28</v>
      </c>
      <c r="G99" t="s">
        <v>30</v>
      </c>
      <c r="H99" t="s">
        <v>182</v>
      </c>
      <c r="I99" t="s">
        <v>0</v>
      </c>
      <c r="J99" t="s">
        <v>119</v>
      </c>
      <c r="K99" t="s">
        <v>41</v>
      </c>
      <c r="L99" s="13">
        <f t="shared" ca="1" si="3"/>
        <v>45793</v>
      </c>
      <c r="M99" t="s">
        <v>36</v>
      </c>
      <c r="P99" t="s">
        <v>119</v>
      </c>
      <c r="Q99" t="s">
        <v>119</v>
      </c>
      <c r="R99" t="s">
        <v>119</v>
      </c>
      <c r="S99" t="s">
        <v>47</v>
      </c>
      <c r="T99" t="s">
        <v>47</v>
      </c>
    </row>
    <row r="100" spans="1:20" x14ac:dyDescent="0.2">
      <c r="A100" t="s">
        <v>604</v>
      </c>
      <c r="B100" t="str">
        <f t="shared" si="2"/>
        <v>Excel_Public_Draft.briefing note</v>
      </c>
      <c r="C100" t="str">
        <f t="shared" ca="1" si="6"/>
        <v>Excel_BriefingNote_Public_2025-09-16_Draft</v>
      </c>
      <c r="D100" t="s">
        <v>146</v>
      </c>
      <c r="E100" t="s">
        <v>158</v>
      </c>
      <c r="F100" t="s">
        <v>28</v>
      </c>
      <c r="G100" t="s">
        <v>30</v>
      </c>
      <c r="H100" t="s">
        <v>187</v>
      </c>
      <c r="I100" t="s">
        <v>0</v>
      </c>
      <c r="J100" t="s">
        <v>119</v>
      </c>
      <c r="K100" t="s">
        <v>41</v>
      </c>
      <c r="L100" s="13">
        <f t="shared" ca="1" si="3"/>
        <v>45916</v>
      </c>
      <c r="M100" t="s">
        <v>36</v>
      </c>
      <c r="P100" t="s">
        <v>119</v>
      </c>
      <c r="Q100" t="s">
        <v>119</v>
      </c>
      <c r="R100" t="s">
        <v>119</v>
      </c>
      <c r="S100" t="s">
        <v>47</v>
      </c>
      <c r="T100" t="s">
        <v>47</v>
      </c>
    </row>
    <row r="101" spans="1:20" x14ac:dyDescent="0.2">
      <c r="A101" t="s">
        <v>605</v>
      </c>
      <c r="B101" t="str">
        <f t="shared" si="2"/>
        <v>Word_Public_Draft.transitory</v>
      </c>
      <c r="C101" t="str">
        <f t="shared" ca="1" si="6"/>
        <v>Word_Transitory_Public_2025-06-18_Draft</v>
      </c>
      <c r="D101" t="s">
        <v>146</v>
      </c>
      <c r="E101" t="s">
        <v>158</v>
      </c>
      <c r="F101" t="s">
        <v>28</v>
      </c>
      <c r="G101" t="s">
        <v>31</v>
      </c>
      <c r="H101" t="s">
        <v>273</v>
      </c>
      <c r="I101" t="s">
        <v>0</v>
      </c>
      <c r="J101" t="s">
        <v>119</v>
      </c>
      <c r="K101" t="s">
        <v>41</v>
      </c>
      <c r="L101" s="13">
        <f t="shared" ca="1" si="3"/>
        <v>45826</v>
      </c>
      <c r="M101" t="s">
        <v>36</v>
      </c>
      <c r="P101" t="s">
        <v>119</v>
      </c>
      <c r="Q101" t="s">
        <v>119</v>
      </c>
      <c r="R101" t="s">
        <v>94</v>
      </c>
      <c r="S101" t="s">
        <v>47</v>
      </c>
      <c r="T101" t="s">
        <v>47</v>
      </c>
    </row>
    <row r="102" spans="1:20" x14ac:dyDescent="0.2">
      <c r="A102" t="s">
        <v>606</v>
      </c>
      <c r="B102" t="str">
        <f t="shared" si="2"/>
        <v>EmailExport_Public_Final.meeting notes</v>
      </c>
      <c r="C102" t="str">
        <f t="shared" ca="1" si="6"/>
        <v>EmailExport_MeetingNotes_Public_2025-04-19_Final</v>
      </c>
      <c r="D102" t="s">
        <v>146</v>
      </c>
      <c r="E102" t="s">
        <v>158</v>
      </c>
      <c r="F102" t="s">
        <v>28</v>
      </c>
      <c r="G102" t="s">
        <v>33</v>
      </c>
      <c r="H102" t="s">
        <v>250</v>
      </c>
      <c r="I102" t="s">
        <v>0</v>
      </c>
      <c r="J102" t="s">
        <v>119</v>
      </c>
      <c r="K102" t="s">
        <v>41</v>
      </c>
      <c r="L102" s="13">
        <f t="shared" ca="1" si="3"/>
        <v>45766</v>
      </c>
      <c r="M102" t="s">
        <v>37</v>
      </c>
      <c r="P102" t="s">
        <v>119</v>
      </c>
      <c r="Q102" t="s">
        <v>119</v>
      </c>
      <c r="R102" t="s">
        <v>119</v>
      </c>
      <c r="S102" t="s">
        <v>47</v>
      </c>
      <c r="T102" t="s">
        <v>47</v>
      </c>
    </row>
    <row r="103" spans="1:20" x14ac:dyDescent="0.2">
      <c r="A103" t="s">
        <v>607</v>
      </c>
      <c r="B103" t="str">
        <f t="shared" si="2"/>
        <v>EmailExport_Public_Final.meeting notes</v>
      </c>
      <c r="C103" t="str">
        <f t="shared" ca="1" si="6"/>
        <v>EmailExport_MeetingNotes_Public_2025-06-12_Final</v>
      </c>
      <c r="D103" t="s">
        <v>146</v>
      </c>
      <c r="E103" t="s">
        <v>158</v>
      </c>
      <c r="F103" t="s">
        <v>28</v>
      </c>
      <c r="G103" t="s">
        <v>33</v>
      </c>
      <c r="H103" t="s">
        <v>250</v>
      </c>
      <c r="I103" t="s">
        <v>0</v>
      </c>
      <c r="J103" t="s">
        <v>119</v>
      </c>
      <c r="K103" t="s">
        <v>41</v>
      </c>
      <c r="L103" s="13">
        <f t="shared" ca="1" si="3"/>
        <v>45820</v>
      </c>
      <c r="M103" t="s">
        <v>37</v>
      </c>
      <c r="P103" t="s">
        <v>119</v>
      </c>
      <c r="Q103" t="s">
        <v>119</v>
      </c>
      <c r="R103" t="s">
        <v>119</v>
      </c>
      <c r="S103" t="s">
        <v>47</v>
      </c>
      <c r="T103" t="s">
        <v>47</v>
      </c>
    </row>
    <row r="104" spans="1:20" x14ac:dyDescent="0.2">
      <c r="A104" t="s">
        <v>608</v>
      </c>
      <c r="B104" t="str">
        <f t="shared" si="2"/>
        <v>Word_Public_Final.chart drafts</v>
      </c>
      <c r="C104" t="str">
        <f t="shared" ca="1" si="6"/>
        <v>Word_ChartDrafts_Public_2025-10-04_Final</v>
      </c>
      <c r="D104" t="s">
        <v>146</v>
      </c>
      <c r="E104" t="s">
        <v>158</v>
      </c>
      <c r="F104" t="s">
        <v>28</v>
      </c>
      <c r="G104" t="s">
        <v>31</v>
      </c>
      <c r="H104" t="s">
        <v>182</v>
      </c>
      <c r="I104" t="s">
        <v>0</v>
      </c>
      <c r="J104" t="s">
        <v>119</v>
      </c>
      <c r="K104" t="s">
        <v>41</v>
      </c>
      <c r="L104" s="13">
        <f t="shared" ca="1" si="3"/>
        <v>45934</v>
      </c>
      <c r="M104" t="s">
        <v>37</v>
      </c>
      <c r="P104" t="s">
        <v>119</v>
      </c>
      <c r="Q104" t="s">
        <v>119</v>
      </c>
      <c r="R104" t="s">
        <v>119</v>
      </c>
      <c r="S104" t="s">
        <v>47</v>
      </c>
      <c r="T104" t="s">
        <v>47</v>
      </c>
    </row>
    <row r="105" spans="1:20" x14ac:dyDescent="0.2">
      <c r="A105" t="s">
        <v>609</v>
      </c>
      <c r="B105" t="str">
        <f t="shared" si="2"/>
        <v>Excel_Public_Draft.briefing note</v>
      </c>
      <c r="C105" t="str">
        <f t="shared" ca="1" si="6"/>
        <v>Excel_BriefingNote_Public_2025-11-09_Draft</v>
      </c>
      <c r="D105" t="s">
        <v>146</v>
      </c>
      <c r="E105" t="s">
        <v>158</v>
      </c>
      <c r="F105" t="s">
        <v>28</v>
      </c>
      <c r="G105" t="s">
        <v>30</v>
      </c>
      <c r="H105" t="s">
        <v>187</v>
      </c>
      <c r="I105" t="s">
        <v>0</v>
      </c>
      <c r="J105" t="s">
        <v>119</v>
      </c>
      <c r="K105" t="s">
        <v>41</v>
      </c>
      <c r="L105" s="13">
        <f t="shared" ca="1" si="3"/>
        <v>45970</v>
      </c>
      <c r="M105" t="s">
        <v>36</v>
      </c>
      <c r="P105" t="s">
        <v>119</v>
      </c>
      <c r="Q105" t="s">
        <v>119</v>
      </c>
      <c r="R105" t="s">
        <v>119</v>
      </c>
      <c r="S105" t="s">
        <v>47</v>
      </c>
      <c r="T105" t="s">
        <v>47</v>
      </c>
    </row>
    <row r="106" spans="1:20" x14ac:dyDescent="0.2">
      <c r="A106" t="s">
        <v>610</v>
      </c>
      <c r="B106" t="str">
        <f t="shared" ref="B106:B150" si="7">SUBSTITUTE(_xlfn.TEXTJOIN("_", TRUE, G106, I106, TEXT(M106, "yyyy-mm-dd"), N106), " ", "") &amp; "." &amp; LOWER(H106)</f>
        <v>Word_Public_Superseded.transitory</v>
      </c>
      <c r="C106" t="str">
        <f t="shared" ca="1" si="6"/>
        <v>Word_Transitory_Public_2025-07-25_Superseded</v>
      </c>
      <c r="D106" t="s">
        <v>146</v>
      </c>
      <c r="E106" t="s">
        <v>158</v>
      </c>
      <c r="F106" t="s">
        <v>28</v>
      </c>
      <c r="G106" t="s">
        <v>31</v>
      </c>
      <c r="H106" t="s">
        <v>273</v>
      </c>
      <c r="I106" t="s">
        <v>0</v>
      </c>
      <c r="J106" t="s">
        <v>119</v>
      </c>
      <c r="K106" t="s">
        <v>41</v>
      </c>
      <c r="L106" s="13">
        <f t="shared" ref="L106:L150" ca="1" si="8">DATE(2025, RANDBETWEEN(1, 12), RANDBETWEEN(1, 28))</f>
        <v>45863</v>
      </c>
      <c r="M106" t="s">
        <v>131</v>
      </c>
      <c r="P106" t="s">
        <v>119</v>
      </c>
      <c r="Q106" t="s">
        <v>94</v>
      </c>
      <c r="R106" t="s">
        <v>94</v>
      </c>
      <c r="S106" t="s">
        <v>47</v>
      </c>
      <c r="T106" t="s">
        <v>47</v>
      </c>
    </row>
    <row r="107" spans="1:20" x14ac:dyDescent="0.2">
      <c r="A107" t="s">
        <v>611</v>
      </c>
      <c r="B107" t="str">
        <f t="shared" si="7"/>
        <v>Scan_Public_Draft.summary table</v>
      </c>
      <c r="C107" t="str">
        <f t="shared" ca="1" si="6"/>
        <v>Scan_SummaryTable_Public_2025-12-18_Draft</v>
      </c>
      <c r="D107" t="s">
        <v>146</v>
      </c>
      <c r="E107" t="s">
        <v>158</v>
      </c>
      <c r="F107" t="s">
        <v>28</v>
      </c>
      <c r="G107" t="s">
        <v>34</v>
      </c>
      <c r="H107" t="s">
        <v>173</v>
      </c>
      <c r="I107" t="s">
        <v>0</v>
      </c>
      <c r="J107" t="s">
        <v>119</v>
      </c>
      <c r="K107" t="s">
        <v>41</v>
      </c>
      <c r="L107" s="13">
        <f t="shared" ca="1" si="8"/>
        <v>46009</v>
      </c>
      <c r="M107" t="s">
        <v>36</v>
      </c>
      <c r="P107" t="s">
        <v>119</v>
      </c>
      <c r="Q107" t="s">
        <v>119</v>
      </c>
      <c r="R107" t="s">
        <v>119</v>
      </c>
      <c r="S107" t="s">
        <v>47</v>
      </c>
      <c r="T107" t="s">
        <v>47</v>
      </c>
    </row>
    <row r="108" spans="1:20" x14ac:dyDescent="0.2">
      <c r="A108" t="s">
        <v>612</v>
      </c>
      <c r="B108" t="str">
        <f t="shared" si="7"/>
        <v>PowerPoint_Public_Superseded.briefing note</v>
      </c>
      <c r="C108" t="str">
        <f t="shared" ca="1" si="6"/>
        <v>PowerPoint_BriefingNote_Public_2025-08-15_Superseded</v>
      </c>
      <c r="D108" t="s">
        <v>146</v>
      </c>
      <c r="E108" t="s">
        <v>158</v>
      </c>
      <c r="F108" t="s">
        <v>28</v>
      </c>
      <c r="G108" t="s">
        <v>159</v>
      </c>
      <c r="H108" t="s">
        <v>187</v>
      </c>
      <c r="I108" t="s">
        <v>0</v>
      </c>
      <c r="J108" t="s">
        <v>119</v>
      </c>
      <c r="K108" t="s">
        <v>41</v>
      </c>
      <c r="L108" s="13">
        <f t="shared" ca="1" si="8"/>
        <v>45884</v>
      </c>
      <c r="M108" t="s">
        <v>131</v>
      </c>
      <c r="P108" t="s">
        <v>119</v>
      </c>
      <c r="Q108" t="s">
        <v>94</v>
      </c>
      <c r="R108" t="s">
        <v>119</v>
      </c>
      <c r="S108" t="s">
        <v>47</v>
      </c>
      <c r="T108" t="s">
        <v>47</v>
      </c>
    </row>
    <row r="109" spans="1:20" x14ac:dyDescent="0.2">
      <c r="A109" t="s">
        <v>613</v>
      </c>
      <c r="B109" t="str">
        <f t="shared" si="7"/>
        <v>PowerPoint_Internal_Draft.case file</v>
      </c>
      <c r="C109" t="str">
        <f t="shared" ca="1" si="6"/>
        <v>PowerPoint_CaseFile_Internal_2025-01-14_Draft</v>
      </c>
      <c r="D109" t="s">
        <v>656</v>
      </c>
      <c r="E109" t="s">
        <v>662</v>
      </c>
      <c r="F109" t="s">
        <v>27</v>
      </c>
      <c r="G109" t="s">
        <v>159</v>
      </c>
      <c r="H109" t="s">
        <v>668</v>
      </c>
      <c r="I109" t="s">
        <v>41</v>
      </c>
      <c r="J109" t="s">
        <v>119</v>
      </c>
      <c r="K109" t="s">
        <v>41</v>
      </c>
      <c r="L109" s="13">
        <f t="shared" ca="1" si="8"/>
        <v>45671</v>
      </c>
      <c r="M109" t="s">
        <v>36</v>
      </c>
      <c r="P109" t="s">
        <v>119</v>
      </c>
      <c r="Q109" t="s">
        <v>119</v>
      </c>
      <c r="R109" t="s">
        <v>119</v>
      </c>
      <c r="S109" t="s">
        <v>47</v>
      </c>
      <c r="T109" t="s">
        <v>47</v>
      </c>
    </row>
    <row r="110" spans="1:20" x14ac:dyDescent="0.2">
      <c r="A110" t="s">
        <v>614</v>
      </c>
      <c r="B110" t="str">
        <f t="shared" si="7"/>
        <v>PowerPoint_Internal_Final.case file</v>
      </c>
      <c r="C110" t="str">
        <f t="shared" ca="1" si="6"/>
        <v>PowerPoint_CaseFile_Internal_2025-12-10_Final</v>
      </c>
      <c r="D110" t="s">
        <v>656</v>
      </c>
      <c r="E110" t="s">
        <v>662</v>
      </c>
      <c r="F110" t="s">
        <v>27</v>
      </c>
      <c r="G110" t="s">
        <v>159</v>
      </c>
      <c r="H110" t="s">
        <v>668</v>
      </c>
      <c r="I110" t="s">
        <v>41</v>
      </c>
      <c r="J110" t="s">
        <v>119</v>
      </c>
      <c r="K110" t="s">
        <v>41</v>
      </c>
      <c r="L110" s="13">
        <f t="shared" ca="1" si="8"/>
        <v>46001</v>
      </c>
      <c r="M110" t="s">
        <v>37</v>
      </c>
      <c r="P110" t="s">
        <v>119</v>
      </c>
      <c r="Q110" t="s">
        <v>119</v>
      </c>
      <c r="R110" t="s">
        <v>119</v>
      </c>
      <c r="S110" t="s">
        <v>47</v>
      </c>
      <c r="T110" t="s">
        <v>47</v>
      </c>
    </row>
    <row r="111" spans="1:20" x14ac:dyDescent="0.2">
      <c r="A111" t="s">
        <v>615</v>
      </c>
      <c r="B111" t="str">
        <f t="shared" si="7"/>
        <v>Excel_Internal_Draft.case file</v>
      </c>
      <c r="C111" t="str">
        <f t="shared" ca="1" si="6"/>
        <v>Excel_CaseFile_Internal_2025-04-08_Draft</v>
      </c>
      <c r="D111" t="s">
        <v>656</v>
      </c>
      <c r="E111" t="s">
        <v>662</v>
      </c>
      <c r="F111" t="s">
        <v>27</v>
      </c>
      <c r="G111" t="s">
        <v>30</v>
      </c>
      <c r="H111" t="s">
        <v>668</v>
      </c>
      <c r="I111" t="s">
        <v>41</v>
      </c>
      <c r="J111" t="s">
        <v>119</v>
      </c>
      <c r="K111" t="s">
        <v>41</v>
      </c>
      <c r="L111" s="13">
        <f t="shared" ca="1" si="8"/>
        <v>45755</v>
      </c>
      <c r="M111" t="s">
        <v>36</v>
      </c>
      <c r="P111" t="s">
        <v>119</v>
      </c>
      <c r="Q111" t="s">
        <v>119</v>
      </c>
      <c r="R111" t="s">
        <v>119</v>
      </c>
      <c r="S111" t="s">
        <v>47</v>
      </c>
      <c r="T111" t="s">
        <v>47</v>
      </c>
    </row>
    <row r="112" spans="1:20" x14ac:dyDescent="0.2">
      <c r="A112" t="s">
        <v>616</v>
      </c>
      <c r="B112" t="str">
        <f t="shared" si="7"/>
        <v>Excel_Internal_Draft.case file</v>
      </c>
      <c r="C112" t="str">
        <f t="shared" ca="1" si="6"/>
        <v>Excel_CaseFile_Internal_2025-02-13_Draft</v>
      </c>
      <c r="D112" t="s">
        <v>656</v>
      </c>
      <c r="E112" t="s">
        <v>662</v>
      </c>
      <c r="F112" t="s">
        <v>27</v>
      </c>
      <c r="G112" t="s">
        <v>30</v>
      </c>
      <c r="H112" t="s">
        <v>668</v>
      </c>
      <c r="I112" t="s">
        <v>41</v>
      </c>
      <c r="J112" t="s">
        <v>94</v>
      </c>
      <c r="K112" t="s">
        <v>42</v>
      </c>
      <c r="L112" s="13">
        <f t="shared" ca="1" si="8"/>
        <v>45701</v>
      </c>
      <c r="M112" t="s">
        <v>36</v>
      </c>
      <c r="P112" t="s">
        <v>119</v>
      </c>
      <c r="Q112" t="s">
        <v>119</v>
      </c>
      <c r="R112" t="s">
        <v>119</v>
      </c>
      <c r="S112" t="s">
        <v>47</v>
      </c>
      <c r="T112" t="s">
        <v>47</v>
      </c>
    </row>
    <row r="113" spans="1:20" x14ac:dyDescent="0.2">
      <c r="A113" t="s">
        <v>617</v>
      </c>
      <c r="B113" t="str">
        <f t="shared" si="7"/>
        <v>Excel_Internal_Draft.case file</v>
      </c>
      <c r="C113" t="str">
        <f t="shared" ca="1" si="6"/>
        <v>Excel_CaseFile_Internal_2025-04-16_Draft</v>
      </c>
      <c r="D113" t="s">
        <v>656</v>
      </c>
      <c r="E113" t="s">
        <v>662</v>
      </c>
      <c r="F113" t="s">
        <v>27</v>
      </c>
      <c r="G113" t="s">
        <v>30</v>
      </c>
      <c r="H113" t="s">
        <v>668</v>
      </c>
      <c r="I113" t="s">
        <v>41</v>
      </c>
      <c r="J113" t="s">
        <v>94</v>
      </c>
      <c r="K113" t="s">
        <v>42</v>
      </c>
      <c r="L113" s="13">
        <f t="shared" ca="1" si="8"/>
        <v>45763</v>
      </c>
      <c r="M113" t="s">
        <v>36</v>
      </c>
      <c r="P113" t="s">
        <v>119</v>
      </c>
      <c r="Q113" t="s">
        <v>119</v>
      </c>
      <c r="R113" t="s">
        <v>119</v>
      </c>
      <c r="S113" t="s">
        <v>47</v>
      </c>
      <c r="T113" t="s">
        <v>47</v>
      </c>
    </row>
    <row r="114" spans="1:20" x14ac:dyDescent="0.2">
      <c r="A114" t="s">
        <v>618</v>
      </c>
      <c r="B114" t="str">
        <f t="shared" si="7"/>
        <v>Excel_Internal_Final.case file</v>
      </c>
      <c r="C114" t="str">
        <f t="shared" ca="1" si="6"/>
        <v>Excel_CaseFile_Internal_2025-10-06_Final</v>
      </c>
      <c r="D114" t="s">
        <v>656</v>
      </c>
      <c r="E114" t="s">
        <v>662</v>
      </c>
      <c r="F114" t="s">
        <v>27</v>
      </c>
      <c r="G114" t="s">
        <v>30</v>
      </c>
      <c r="H114" t="s">
        <v>668</v>
      </c>
      <c r="I114" t="s">
        <v>41</v>
      </c>
      <c r="J114" t="s">
        <v>94</v>
      </c>
      <c r="K114" t="s">
        <v>42</v>
      </c>
      <c r="L114" s="13">
        <f t="shared" ca="1" si="8"/>
        <v>45936</v>
      </c>
      <c r="M114" t="s">
        <v>37</v>
      </c>
      <c r="P114" t="s">
        <v>119</v>
      </c>
      <c r="Q114" t="s">
        <v>119</v>
      </c>
      <c r="R114" t="s">
        <v>119</v>
      </c>
      <c r="S114" t="s">
        <v>47</v>
      </c>
      <c r="T114" t="s">
        <v>47</v>
      </c>
    </row>
    <row r="115" spans="1:20" x14ac:dyDescent="0.2">
      <c r="A115" t="s">
        <v>619</v>
      </c>
      <c r="B115" t="str">
        <f t="shared" si="7"/>
        <v>Excel_Internal_Superseded.case file</v>
      </c>
      <c r="C115" t="str">
        <f t="shared" ca="1" si="6"/>
        <v>Excel_CaseFile_Internal_2025-10-11_Superseded</v>
      </c>
      <c r="D115" t="s">
        <v>656</v>
      </c>
      <c r="E115" t="s">
        <v>662</v>
      </c>
      <c r="F115" t="s">
        <v>27</v>
      </c>
      <c r="G115" t="s">
        <v>30</v>
      </c>
      <c r="H115" t="s">
        <v>668</v>
      </c>
      <c r="I115" t="s">
        <v>41</v>
      </c>
      <c r="J115" t="s">
        <v>94</v>
      </c>
      <c r="K115" t="s">
        <v>42</v>
      </c>
      <c r="L115" s="13">
        <f t="shared" ca="1" si="8"/>
        <v>45941</v>
      </c>
      <c r="M115" t="s">
        <v>131</v>
      </c>
      <c r="P115" t="s">
        <v>119</v>
      </c>
      <c r="Q115" t="s">
        <v>94</v>
      </c>
      <c r="R115" t="s">
        <v>119</v>
      </c>
      <c r="S115" t="s">
        <v>47</v>
      </c>
      <c r="T115" t="s">
        <v>47</v>
      </c>
    </row>
    <row r="116" spans="1:20" x14ac:dyDescent="0.2">
      <c r="A116" t="s">
        <v>620</v>
      </c>
      <c r="B116" t="str">
        <f t="shared" si="7"/>
        <v>Word_Internal_Final.case file</v>
      </c>
      <c r="C116" t="str">
        <f t="shared" ca="1" si="6"/>
        <v>Word_CaseFile_Internal_2025-02-10_Final</v>
      </c>
      <c r="D116" t="s">
        <v>656</v>
      </c>
      <c r="E116" t="s">
        <v>662</v>
      </c>
      <c r="F116" t="s">
        <v>27</v>
      </c>
      <c r="G116" t="s">
        <v>31</v>
      </c>
      <c r="H116" t="s">
        <v>668</v>
      </c>
      <c r="I116" t="s">
        <v>41</v>
      </c>
      <c r="J116" t="s">
        <v>94</v>
      </c>
      <c r="K116" t="s">
        <v>42</v>
      </c>
      <c r="L116" s="13">
        <f t="shared" ca="1" si="8"/>
        <v>45698</v>
      </c>
      <c r="M116" t="s">
        <v>37</v>
      </c>
      <c r="P116" t="s">
        <v>119</v>
      </c>
      <c r="Q116" t="s">
        <v>119</v>
      </c>
      <c r="R116" t="s">
        <v>119</v>
      </c>
      <c r="S116" t="s">
        <v>47</v>
      </c>
      <c r="T116" t="s">
        <v>47</v>
      </c>
    </row>
    <row r="117" spans="1:20" x14ac:dyDescent="0.2">
      <c r="A117" t="s">
        <v>621</v>
      </c>
      <c r="B117" t="str">
        <f t="shared" si="7"/>
        <v>Excel_Internal_Draft.case file</v>
      </c>
      <c r="C117" t="str">
        <f t="shared" ca="1" si="6"/>
        <v>Excel_CaseFile_Internal_2025-06-24_Draft</v>
      </c>
      <c r="D117" t="s">
        <v>656</v>
      </c>
      <c r="E117" t="s">
        <v>662</v>
      </c>
      <c r="F117" t="s">
        <v>27</v>
      </c>
      <c r="G117" t="s">
        <v>30</v>
      </c>
      <c r="H117" t="s">
        <v>668</v>
      </c>
      <c r="I117" t="s">
        <v>41</v>
      </c>
      <c r="J117" t="s">
        <v>119</v>
      </c>
      <c r="K117" t="s">
        <v>41</v>
      </c>
      <c r="L117" s="13">
        <f t="shared" ca="1" si="8"/>
        <v>45832</v>
      </c>
      <c r="M117" t="s">
        <v>36</v>
      </c>
      <c r="P117" t="s">
        <v>119</v>
      </c>
      <c r="Q117" t="s">
        <v>119</v>
      </c>
      <c r="R117" t="s">
        <v>119</v>
      </c>
      <c r="S117" t="s">
        <v>47</v>
      </c>
      <c r="T117" t="s">
        <v>47</v>
      </c>
    </row>
    <row r="118" spans="1:20" x14ac:dyDescent="0.2">
      <c r="A118" t="s">
        <v>622</v>
      </c>
      <c r="B118" t="str">
        <f t="shared" si="7"/>
        <v>Excel_Internal_Final.case file</v>
      </c>
      <c r="C118" t="str">
        <f t="shared" ca="1" si="6"/>
        <v>Excel_CaseFile_Internal_2025-03-28_Final</v>
      </c>
      <c r="D118" t="s">
        <v>656</v>
      </c>
      <c r="E118" t="s">
        <v>662</v>
      </c>
      <c r="F118" t="s">
        <v>27</v>
      </c>
      <c r="G118" t="s">
        <v>30</v>
      </c>
      <c r="H118" t="s">
        <v>668</v>
      </c>
      <c r="I118" t="s">
        <v>41</v>
      </c>
      <c r="J118" t="s">
        <v>119</v>
      </c>
      <c r="K118" t="s">
        <v>41</v>
      </c>
      <c r="L118" s="13">
        <f t="shared" ca="1" si="8"/>
        <v>45744</v>
      </c>
      <c r="M118" t="s">
        <v>37</v>
      </c>
      <c r="P118" t="s">
        <v>119</v>
      </c>
      <c r="Q118" t="s">
        <v>119</v>
      </c>
      <c r="R118" t="s">
        <v>119</v>
      </c>
      <c r="S118" t="s">
        <v>47</v>
      </c>
      <c r="T118" t="s">
        <v>47</v>
      </c>
    </row>
    <row r="119" spans="1:20" x14ac:dyDescent="0.2">
      <c r="A119" t="s">
        <v>623</v>
      </c>
      <c r="B119" t="str">
        <f t="shared" si="7"/>
        <v>Excel_Internal_Draft.judgment</v>
      </c>
      <c r="C119" t="str">
        <f t="shared" ca="1" si="6"/>
        <v>Excel_Judgment_Internal_2025-11-13_Draft</v>
      </c>
      <c r="D119" t="s">
        <v>656</v>
      </c>
      <c r="E119" t="s">
        <v>662</v>
      </c>
      <c r="F119" t="s">
        <v>27</v>
      </c>
      <c r="G119" t="s">
        <v>30</v>
      </c>
      <c r="H119" t="s">
        <v>669</v>
      </c>
      <c r="I119" t="s">
        <v>41</v>
      </c>
      <c r="J119" t="s">
        <v>119</v>
      </c>
      <c r="K119" t="s">
        <v>41</v>
      </c>
      <c r="L119" s="13">
        <f t="shared" ca="1" si="8"/>
        <v>45974</v>
      </c>
      <c r="M119" t="s">
        <v>36</v>
      </c>
      <c r="P119" t="s">
        <v>119</v>
      </c>
      <c r="Q119" t="s">
        <v>119</v>
      </c>
      <c r="R119" t="s">
        <v>119</v>
      </c>
      <c r="S119" t="s">
        <v>47</v>
      </c>
      <c r="T119" t="s">
        <v>47</v>
      </c>
    </row>
    <row r="120" spans="1:20" x14ac:dyDescent="0.2">
      <c r="A120" t="s">
        <v>624</v>
      </c>
      <c r="B120" t="str">
        <f t="shared" si="7"/>
        <v>Excel_Internal_Final.case strategy</v>
      </c>
      <c r="C120" t="str">
        <f t="shared" ca="1" si="6"/>
        <v>Excel_CaseStrategy_Internal_2025-07-24_Final</v>
      </c>
      <c r="D120" t="s">
        <v>656</v>
      </c>
      <c r="E120" t="s">
        <v>662</v>
      </c>
      <c r="F120" t="s">
        <v>27</v>
      </c>
      <c r="G120" t="s">
        <v>30</v>
      </c>
      <c r="H120" t="s">
        <v>670</v>
      </c>
      <c r="I120" t="s">
        <v>41</v>
      </c>
      <c r="J120" t="s">
        <v>119</v>
      </c>
      <c r="K120" t="s">
        <v>41</v>
      </c>
      <c r="L120" s="13">
        <f t="shared" ca="1" si="8"/>
        <v>45862</v>
      </c>
      <c r="M120" t="s">
        <v>37</v>
      </c>
      <c r="P120" t="s">
        <v>119</v>
      </c>
      <c r="Q120" t="s">
        <v>119</v>
      </c>
      <c r="R120" t="s">
        <v>119</v>
      </c>
      <c r="S120" t="s">
        <v>47</v>
      </c>
      <c r="T120" t="s">
        <v>47</v>
      </c>
    </row>
    <row r="121" spans="1:20" x14ac:dyDescent="0.2">
      <c r="A121" t="s">
        <v>625</v>
      </c>
      <c r="B121" t="str">
        <f t="shared" si="7"/>
        <v>Word_Internal_Final.appeal</v>
      </c>
      <c r="C121" t="str">
        <f t="shared" ca="1" si="6"/>
        <v>Word_Appeal_Internal_2025-11-04_Final</v>
      </c>
      <c r="D121" t="s">
        <v>656</v>
      </c>
      <c r="E121" t="s">
        <v>662</v>
      </c>
      <c r="F121" t="s">
        <v>27</v>
      </c>
      <c r="G121" t="s">
        <v>31</v>
      </c>
      <c r="H121" t="s">
        <v>671</v>
      </c>
      <c r="I121" t="s">
        <v>41</v>
      </c>
      <c r="J121" t="s">
        <v>119</v>
      </c>
      <c r="K121" t="s">
        <v>41</v>
      </c>
      <c r="L121" s="13">
        <f t="shared" ca="1" si="8"/>
        <v>45965</v>
      </c>
      <c r="M121" t="s">
        <v>37</v>
      </c>
      <c r="P121" t="s">
        <v>119</v>
      </c>
      <c r="Q121" t="s">
        <v>119</v>
      </c>
      <c r="R121" t="s">
        <v>119</v>
      </c>
      <c r="S121" t="s">
        <v>47</v>
      </c>
      <c r="T121" t="s">
        <v>47</v>
      </c>
    </row>
    <row r="122" spans="1:20" x14ac:dyDescent="0.2">
      <c r="A122" t="s">
        <v>626</v>
      </c>
      <c r="B122" t="str">
        <f t="shared" si="7"/>
        <v>Word_Internal_Draft.appeal</v>
      </c>
      <c r="C122" t="str">
        <f t="shared" ca="1" si="6"/>
        <v>Word_Appeal_Internal_2025-07-15_Draft</v>
      </c>
      <c r="D122" t="s">
        <v>656</v>
      </c>
      <c r="E122" t="s">
        <v>662</v>
      </c>
      <c r="F122" t="s">
        <v>27</v>
      </c>
      <c r="G122" t="s">
        <v>31</v>
      </c>
      <c r="H122" t="s">
        <v>671</v>
      </c>
      <c r="I122" t="s">
        <v>41</v>
      </c>
      <c r="J122" t="s">
        <v>119</v>
      </c>
      <c r="K122" t="s">
        <v>41</v>
      </c>
      <c r="L122" s="13">
        <f t="shared" ca="1" si="8"/>
        <v>45853</v>
      </c>
      <c r="M122" t="s">
        <v>36</v>
      </c>
      <c r="P122" t="s">
        <v>119</v>
      </c>
      <c r="Q122" t="s">
        <v>119</v>
      </c>
      <c r="R122" t="s">
        <v>119</v>
      </c>
      <c r="S122" t="s">
        <v>47</v>
      </c>
      <c r="T122" t="s">
        <v>47</v>
      </c>
    </row>
    <row r="123" spans="1:20" x14ac:dyDescent="0.2">
      <c r="A123" t="s">
        <v>627</v>
      </c>
      <c r="B123" t="str">
        <f t="shared" si="7"/>
        <v>PowerPoint_Internal_Draft.appeal</v>
      </c>
      <c r="C123" t="str">
        <f t="shared" ca="1" si="6"/>
        <v>PowerPoint_Appeal_Internal_2025-05-19_Draft</v>
      </c>
      <c r="D123" t="s">
        <v>656</v>
      </c>
      <c r="E123" t="s">
        <v>662</v>
      </c>
      <c r="F123" t="s">
        <v>27</v>
      </c>
      <c r="G123" t="s">
        <v>159</v>
      </c>
      <c r="H123" t="s">
        <v>671</v>
      </c>
      <c r="I123" t="s">
        <v>41</v>
      </c>
      <c r="J123" t="s">
        <v>119</v>
      </c>
      <c r="K123" t="s">
        <v>41</v>
      </c>
      <c r="L123" s="13">
        <f t="shared" ca="1" si="8"/>
        <v>45796</v>
      </c>
      <c r="M123" t="s">
        <v>36</v>
      </c>
      <c r="P123" t="s">
        <v>119</v>
      </c>
      <c r="Q123" t="s">
        <v>119</v>
      </c>
      <c r="R123" t="s">
        <v>119</v>
      </c>
      <c r="S123" t="s">
        <v>47</v>
      </c>
      <c r="T123" t="s">
        <v>47</v>
      </c>
    </row>
    <row r="124" spans="1:20" x14ac:dyDescent="0.2">
      <c r="A124" t="s">
        <v>628</v>
      </c>
      <c r="B124" t="str">
        <f t="shared" si="7"/>
        <v>PowerPoint_Internal_Draft.appeal</v>
      </c>
      <c r="C124" t="str">
        <f t="shared" ca="1" si="6"/>
        <v>PowerPoint_Appeal_Internal_2025-03-20_Draft</v>
      </c>
      <c r="D124" t="s">
        <v>656</v>
      </c>
      <c r="E124" t="s">
        <v>662</v>
      </c>
      <c r="F124" t="s">
        <v>27</v>
      </c>
      <c r="G124" t="s">
        <v>159</v>
      </c>
      <c r="H124" t="s">
        <v>671</v>
      </c>
      <c r="I124" t="s">
        <v>41</v>
      </c>
      <c r="J124" t="s">
        <v>119</v>
      </c>
      <c r="K124" t="s">
        <v>41</v>
      </c>
      <c r="L124" s="13">
        <f t="shared" ca="1" si="8"/>
        <v>45736</v>
      </c>
      <c r="M124" t="s">
        <v>36</v>
      </c>
      <c r="P124" t="s">
        <v>119</v>
      </c>
      <c r="Q124" t="s">
        <v>119</v>
      </c>
      <c r="R124" t="s">
        <v>119</v>
      </c>
      <c r="S124" t="s">
        <v>47</v>
      </c>
      <c r="T124" t="s">
        <v>47</v>
      </c>
    </row>
    <row r="125" spans="1:20" x14ac:dyDescent="0.2">
      <c r="A125" t="s">
        <v>629</v>
      </c>
      <c r="B125" t="str">
        <f t="shared" si="7"/>
        <v>PowerPoint_Internal_Draft.appeal</v>
      </c>
      <c r="C125" t="str">
        <f t="shared" ca="1" si="6"/>
        <v>PowerPoint_Appeal_Internal_2025-08-08_Draft</v>
      </c>
      <c r="D125" t="s">
        <v>656</v>
      </c>
      <c r="E125" t="s">
        <v>662</v>
      </c>
      <c r="F125" t="s">
        <v>27</v>
      </c>
      <c r="G125" t="s">
        <v>159</v>
      </c>
      <c r="H125" t="s">
        <v>671</v>
      </c>
      <c r="I125" t="s">
        <v>41</v>
      </c>
      <c r="J125" t="s">
        <v>119</v>
      </c>
      <c r="K125" t="s">
        <v>41</v>
      </c>
      <c r="L125" s="13">
        <f t="shared" ca="1" si="8"/>
        <v>45877</v>
      </c>
      <c r="M125" t="s">
        <v>36</v>
      </c>
      <c r="P125" t="s">
        <v>119</v>
      </c>
      <c r="Q125" t="s">
        <v>119</v>
      </c>
      <c r="R125" t="s">
        <v>119</v>
      </c>
      <c r="S125" t="s">
        <v>47</v>
      </c>
      <c r="T125" t="s">
        <v>47</v>
      </c>
    </row>
    <row r="126" spans="1:20" x14ac:dyDescent="0.2">
      <c r="A126" t="s">
        <v>630</v>
      </c>
      <c r="B126" t="str">
        <f t="shared" si="7"/>
        <v>Excel_Internal_Draft.appeal</v>
      </c>
      <c r="C126" t="str">
        <f t="shared" ca="1" si="6"/>
        <v>Excel_Appeal_Internal_2025-10-09_Draft</v>
      </c>
      <c r="D126" t="s">
        <v>192</v>
      </c>
      <c r="E126" t="s">
        <v>661</v>
      </c>
      <c r="F126" t="s">
        <v>25</v>
      </c>
      <c r="G126" t="s">
        <v>30</v>
      </c>
      <c r="H126" t="s">
        <v>671</v>
      </c>
      <c r="I126" t="s">
        <v>41</v>
      </c>
      <c r="J126" t="s">
        <v>119</v>
      </c>
      <c r="K126" t="s">
        <v>41</v>
      </c>
      <c r="L126" s="13">
        <f t="shared" ca="1" si="8"/>
        <v>45939</v>
      </c>
      <c r="M126" t="s">
        <v>36</v>
      </c>
      <c r="P126" t="s">
        <v>119</v>
      </c>
      <c r="Q126" t="s">
        <v>119</v>
      </c>
      <c r="R126" t="s">
        <v>119</v>
      </c>
      <c r="S126" t="s">
        <v>47</v>
      </c>
      <c r="T126" t="s">
        <v>47</v>
      </c>
    </row>
    <row r="127" spans="1:20" x14ac:dyDescent="0.2">
      <c r="A127" t="s">
        <v>631</v>
      </c>
      <c r="B127" t="str">
        <f t="shared" si="7"/>
        <v>Excel_Internal_Draft.appeal</v>
      </c>
      <c r="C127" t="str">
        <f t="shared" ca="1" si="6"/>
        <v>Excel_Appeal_Internal_2025-06-17_Draft</v>
      </c>
      <c r="D127" t="s">
        <v>192</v>
      </c>
      <c r="E127" t="s">
        <v>661</v>
      </c>
      <c r="F127" t="s">
        <v>25</v>
      </c>
      <c r="G127" t="s">
        <v>30</v>
      </c>
      <c r="H127" t="s">
        <v>671</v>
      </c>
      <c r="I127" t="s">
        <v>41</v>
      </c>
      <c r="J127" t="s">
        <v>119</v>
      </c>
      <c r="K127" t="s">
        <v>41</v>
      </c>
      <c r="L127" s="13">
        <f t="shared" ca="1" si="8"/>
        <v>45825</v>
      </c>
      <c r="M127" t="s">
        <v>36</v>
      </c>
      <c r="P127" t="s">
        <v>119</v>
      </c>
      <c r="Q127" t="s">
        <v>119</v>
      </c>
      <c r="R127" t="s">
        <v>119</v>
      </c>
      <c r="S127" t="s">
        <v>47</v>
      </c>
      <c r="T127" t="s">
        <v>47</v>
      </c>
    </row>
    <row r="128" spans="1:20" x14ac:dyDescent="0.2">
      <c r="A128" t="s">
        <v>632</v>
      </c>
      <c r="B128" t="str">
        <f t="shared" si="7"/>
        <v>Excel_Internal_Final.onboarding_documentation_128</v>
      </c>
      <c r="C128" t="str">
        <f t="shared" ca="1" si="6"/>
        <v>Excel_Onboarding_Documentation_128_Internal_2025-01-06_Final</v>
      </c>
      <c r="D128" t="s">
        <v>192</v>
      </c>
      <c r="E128" t="s">
        <v>661</v>
      </c>
      <c r="F128" t="s">
        <v>25</v>
      </c>
      <c r="G128" t="s">
        <v>30</v>
      </c>
      <c r="H128" t="str">
        <f>"Onboarding_Documentation_" &amp; ROW()</f>
        <v>Onboarding_Documentation_128</v>
      </c>
      <c r="I128" t="s">
        <v>41</v>
      </c>
      <c r="J128" t="s">
        <v>119</v>
      </c>
      <c r="K128" t="s">
        <v>41</v>
      </c>
      <c r="L128" s="13">
        <f t="shared" ca="1" si="8"/>
        <v>45663</v>
      </c>
      <c r="M128" t="s">
        <v>37</v>
      </c>
      <c r="P128" t="s">
        <v>119</v>
      </c>
      <c r="Q128" t="s">
        <v>119</v>
      </c>
      <c r="R128" t="s">
        <v>119</v>
      </c>
      <c r="S128" t="s">
        <v>47</v>
      </c>
      <c r="T128" t="s">
        <v>47</v>
      </c>
    </row>
    <row r="129" spans="1:20" x14ac:dyDescent="0.2">
      <c r="A129" t="s">
        <v>633</v>
      </c>
      <c r="B129" t="str">
        <f t="shared" si="7"/>
        <v>Word_Internal_Final.onboarding_documentation_129</v>
      </c>
      <c r="C129" t="str">
        <f t="shared" ca="1" si="6"/>
        <v>Word_Onboarding_Documentation_129_Internal_2025-04-22_Final</v>
      </c>
      <c r="D129" t="s">
        <v>192</v>
      </c>
      <c r="E129" t="s">
        <v>661</v>
      </c>
      <c r="F129" t="s">
        <v>25</v>
      </c>
      <c r="G129" t="s">
        <v>31</v>
      </c>
      <c r="H129" t="str">
        <f t="shared" ref="H129:H132" si="9">"Onboarding_Documentation_" &amp; ROW()</f>
        <v>Onboarding_Documentation_129</v>
      </c>
      <c r="I129" t="s">
        <v>41</v>
      </c>
      <c r="J129" t="s">
        <v>119</v>
      </c>
      <c r="K129" t="s">
        <v>41</v>
      </c>
      <c r="L129" s="13">
        <f t="shared" ca="1" si="8"/>
        <v>45769</v>
      </c>
      <c r="M129" t="s">
        <v>37</v>
      </c>
      <c r="P129" t="s">
        <v>119</v>
      </c>
      <c r="Q129" t="s">
        <v>119</v>
      </c>
      <c r="R129" t="s">
        <v>119</v>
      </c>
      <c r="S129" t="s">
        <v>47</v>
      </c>
      <c r="T129" t="s">
        <v>47</v>
      </c>
    </row>
    <row r="130" spans="1:20" x14ac:dyDescent="0.2">
      <c r="A130" t="s">
        <v>634</v>
      </c>
      <c r="B130" t="str">
        <f t="shared" si="7"/>
        <v>Excel_Internal_Final.onboarding_documentation_130</v>
      </c>
      <c r="C130" t="str">
        <f t="shared" ref="C130:C150" ca="1" si="10">SUBSTITUTE(_xlfn.TEXTJOIN("_", TRUE, G130, H130, SUBSTITUTE(I130, " ", ""), TEXT(L130, "yyyy-mm-dd"), M130), " ", "")</f>
        <v>Excel_Onboarding_Documentation_130_Internal_2025-11-01_Final</v>
      </c>
      <c r="D130" t="s">
        <v>192</v>
      </c>
      <c r="E130" t="s">
        <v>661</v>
      </c>
      <c r="F130" t="s">
        <v>25</v>
      </c>
      <c r="G130" t="s">
        <v>30</v>
      </c>
      <c r="H130" t="str">
        <f t="shared" si="9"/>
        <v>Onboarding_Documentation_130</v>
      </c>
      <c r="I130" t="s">
        <v>41</v>
      </c>
      <c r="J130" t="s">
        <v>119</v>
      </c>
      <c r="K130" t="s">
        <v>41</v>
      </c>
      <c r="L130" s="13">
        <f t="shared" ca="1" si="8"/>
        <v>45962</v>
      </c>
      <c r="M130" t="s">
        <v>37</v>
      </c>
      <c r="P130" t="s">
        <v>119</v>
      </c>
      <c r="Q130" t="s">
        <v>119</v>
      </c>
      <c r="R130" t="s">
        <v>119</v>
      </c>
      <c r="S130" t="s">
        <v>47</v>
      </c>
      <c r="T130" t="s">
        <v>47</v>
      </c>
    </row>
    <row r="131" spans="1:20" x14ac:dyDescent="0.2">
      <c r="A131" t="s">
        <v>635</v>
      </c>
      <c r="B131" t="str">
        <f t="shared" si="7"/>
        <v>Excel_Internal_Draft.onboarding_documentation_131</v>
      </c>
      <c r="C131" t="str">
        <f t="shared" ca="1" si="10"/>
        <v>Excel_Onboarding_Documentation_131_Internal_2025-11-28_Draft</v>
      </c>
      <c r="D131" t="s">
        <v>192</v>
      </c>
      <c r="E131" t="s">
        <v>661</v>
      </c>
      <c r="F131" t="s">
        <v>25</v>
      </c>
      <c r="G131" t="s">
        <v>30</v>
      </c>
      <c r="H131" t="str">
        <f t="shared" si="9"/>
        <v>Onboarding_Documentation_131</v>
      </c>
      <c r="I131" t="s">
        <v>41</v>
      </c>
      <c r="J131" t="s">
        <v>119</v>
      </c>
      <c r="K131" t="s">
        <v>41</v>
      </c>
      <c r="L131" s="13">
        <f t="shared" ca="1" si="8"/>
        <v>45989</v>
      </c>
      <c r="M131" t="s">
        <v>36</v>
      </c>
      <c r="P131" t="s">
        <v>119</v>
      </c>
      <c r="Q131" t="s">
        <v>119</v>
      </c>
      <c r="R131" t="s">
        <v>119</v>
      </c>
      <c r="S131" t="s">
        <v>47</v>
      </c>
      <c r="T131" t="s">
        <v>47</v>
      </c>
    </row>
    <row r="132" spans="1:20" x14ac:dyDescent="0.2">
      <c r="A132" t="s">
        <v>636</v>
      </c>
      <c r="B132" t="str">
        <f t="shared" si="7"/>
        <v>Excel_Internal_Final.onboarding_documentation_132</v>
      </c>
      <c r="C132" t="str">
        <f t="shared" ca="1" si="10"/>
        <v>Excel_Onboarding_Documentation_132_Internal_2025-04-11_Final</v>
      </c>
      <c r="D132" t="s">
        <v>192</v>
      </c>
      <c r="E132" t="s">
        <v>661</v>
      </c>
      <c r="F132" t="s">
        <v>25</v>
      </c>
      <c r="G132" t="s">
        <v>30</v>
      </c>
      <c r="H132" t="str">
        <f t="shared" si="9"/>
        <v>Onboarding_Documentation_132</v>
      </c>
      <c r="I132" t="s">
        <v>41</v>
      </c>
      <c r="J132" t="s">
        <v>119</v>
      </c>
      <c r="K132" t="s">
        <v>41</v>
      </c>
      <c r="L132" s="13">
        <f t="shared" ca="1" si="8"/>
        <v>45758</v>
      </c>
      <c r="M132" t="s">
        <v>37</v>
      </c>
      <c r="P132" t="s">
        <v>119</v>
      </c>
      <c r="Q132" t="s">
        <v>119</v>
      </c>
      <c r="R132" t="s">
        <v>119</v>
      </c>
      <c r="S132" t="s">
        <v>47</v>
      </c>
      <c r="T132" t="s">
        <v>47</v>
      </c>
    </row>
    <row r="133" spans="1:20" x14ac:dyDescent="0.2">
      <c r="A133" t="s">
        <v>637</v>
      </c>
      <c r="B133" t="str">
        <f t="shared" si="7"/>
        <v>Excel_Internal_Draft.case file</v>
      </c>
      <c r="C133" t="str">
        <f t="shared" ca="1" si="10"/>
        <v>Excel_CaseFile_Internal_2025-03-03_Draft</v>
      </c>
      <c r="D133" t="s">
        <v>238</v>
      </c>
      <c r="E133" t="s">
        <v>659</v>
      </c>
      <c r="F133" t="s">
        <v>39</v>
      </c>
      <c r="G133" t="s">
        <v>30</v>
      </c>
      <c r="H133" t="s">
        <v>668</v>
      </c>
      <c r="I133" t="s">
        <v>41</v>
      </c>
      <c r="J133" t="s">
        <v>119</v>
      </c>
      <c r="K133" t="s">
        <v>41</v>
      </c>
      <c r="L133" s="13">
        <f t="shared" ca="1" si="8"/>
        <v>45719</v>
      </c>
      <c r="M133" t="s">
        <v>36</v>
      </c>
      <c r="P133" t="s">
        <v>119</v>
      </c>
      <c r="Q133" t="s">
        <v>119</v>
      </c>
      <c r="R133" t="s">
        <v>119</v>
      </c>
      <c r="S133" t="s">
        <v>47</v>
      </c>
      <c r="T133" t="s">
        <v>47</v>
      </c>
    </row>
    <row r="134" spans="1:20" x14ac:dyDescent="0.2">
      <c r="A134" t="s">
        <v>638</v>
      </c>
      <c r="B134" t="str">
        <f t="shared" si="7"/>
        <v>Word_Internal_Draft.summary table</v>
      </c>
      <c r="C134" t="str">
        <f t="shared" ca="1" si="10"/>
        <v>Word_SummaryTable_Internal_2025-08-12_Draft</v>
      </c>
      <c r="D134" t="s">
        <v>238</v>
      </c>
      <c r="E134" t="s">
        <v>659</v>
      </c>
      <c r="F134" t="s">
        <v>39</v>
      </c>
      <c r="G134" t="s">
        <v>31</v>
      </c>
      <c r="H134" t="s">
        <v>173</v>
      </c>
      <c r="I134" t="s">
        <v>41</v>
      </c>
      <c r="J134" t="s">
        <v>119</v>
      </c>
      <c r="K134" t="s">
        <v>41</v>
      </c>
      <c r="L134" s="13">
        <f t="shared" ca="1" si="8"/>
        <v>45881</v>
      </c>
      <c r="M134" t="s">
        <v>36</v>
      </c>
      <c r="P134" t="s">
        <v>119</v>
      </c>
      <c r="Q134" t="s">
        <v>119</v>
      </c>
      <c r="R134" t="s">
        <v>119</v>
      </c>
      <c r="S134" t="s">
        <v>47</v>
      </c>
      <c r="T134" t="s">
        <v>47</v>
      </c>
    </row>
    <row r="135" spans="1:20" x14ac:dyDescent="0.2">
      <c r="A135" t="s">
        <v>639</v>
      </c>
      <c r="B135" t="str">
        <f t="shared" si="7"/>
        <v>Word_Internal_Draft.summary table</v>
      </c>
      <c r="C135" t="str">
        <f t="shared" ca="1" si="10"/>
        <v>Word_SummaryTable_Internal_2025-11-07_Draft</v>
      </c>
      <c r="D135" t="s">
        <v>238</v>
      </c>
      <c r="E135" t="s">
        <v>659</v>
      </c>
      <c r="F135" t="s">
        <v>39</v>
      </c>
      <c r="G135" t="s">
        <v>31</v>
      </c>
      <c r="H135" t="s">
        <v>173</v>
      </c>
      <c r="I135" t="s">
        <v>41</v>
      </c>
      <c r="J135" t="s">
        <v>119</v>
      </c>
      <c r="K135" t="s">
        <v>41</v>
      </c>
      <c r="L135" s="13">
        <f t="shared" ca="1" si="8"/>
        <v>45968</v>
      </c>
      <c r="M135" t="s">
        <v>36</v>
      </c>
      <c r="P135" t="s">
        <v>119</v>
      </c>
      <c r="Q135" t="s">
        <v>119</v>
      </c>
      <c r="R135" t="s">
        <v>119</v>
      </c>
      <c r="S135" t="s">
        <v>47</v>
      </c>
      <c r="T135" t="s">
        <v>47</v>
      </c>
    </row>
    <row r="136" spans="1:20" x14ac:dyDescent="0.2">
      <c r="A136" t="s">
        <v>640</v>
      </c>
      <c r="B136" t="str">
        <f t="shared" si="7"/>
        <v>EmailExport_Internal_Final.chart drafts</v>
      </c>
      <c r="C136" t="str">
        <f t="shared" ca="1" si="10"/>
        <v>EmailExport_ChartDrafts_Internal_2025-06-19_Final</v>
      </c>
      <c r="D136" t="s">
        <v>238</v>
      </c>
      <c r="E136" t="s">
        <v>659</v>
      </c>
      <c r="F136" t="s">
        <v>39</v>
      </c>
      <c r="G136" t="s">
        <v>33</v>
      </c>
      <c r="H136" t="s">
        <v>182</v>
      </c>
      <c r="I136" t="s">
        <v>41</v>
      </c>
      <c r="J136" t="s">
        <v>119</v>
      </c>
      <c r="K136" t="s">
        <v>41</v>
      </c>
      <c r="L136" s="13">
        <f t="shared" ca="1" si="8"/>
        <v>45827</v>
      </c>
      <c r="M136" t="s">
        <v>37</v>
      </c>
      <c r="P136" t="s">
        <v>119</v>
      </c>
      <c r="Q136" t="s">
        <v>119</v>
      </c>
      <c r="R136" t="s">
        <v>119</v>
      </c>
      <c r="S136" t="s">
        <v>47</v>
      </c>
      <c r="T136" t="s">
        <v>47</v>
      </c>
    </row>
    <row r="137" spans="1:20" x14ac:dyDescent="0.2">
      <c r="A137" t="s">
        <v>641</v>
      </c>
      <c r="B137" t="str">
        <f t="shared" si="7"/>
        <v>EmailExport_Internal_Superseded.weekly status summary</v>
      </c>
      <c r="C137" t="str">
        <f t="shared" ca="1" si="10"/>
        <v>EmailExport_WeeklyStatusSummary_Internal_2025-08-25_Superseded</v>
      </c>
      <c r="D137" t="s">
        <v>238</v>
      </c>
      <c r="E137" t="s">
        <v>659</v>
      </c>
      <c r="F137" t="s">
        <v>39</v>
      </c>
      <c r="G137" t="s">
        <v>33</v>
      </c>
      <c r="H137" t="s">
        <v>147</v>
      </c>
      <c r="I137" t="s">
        <v>41</v>
      </c>
      <c r="J137" t="s">
        <v>119</v>
      </c>
      <c r="K137" t="s">
        <v>41</v>
      </c>
      <c r="L137" s="13">
        <f t="shared" ca="1" si="8"/>
        <v>45894</v>
      </c>
      <c r="M137" t="s">
        <v>131</v>
      </c>
      <c r="P137" t="s">
        <v>119</v>
      </c>
      <c r="Q137" t="s">
        <v>94</v>
      </c>
      <c r="R137" t="s">
        <v>119</v>
      </c>
      <c r="S137" t="s">
        <v>47</v>
      </c>
      <c r="T137" t="s">
        <v>47</v>
      </c>
    </row>
    <row r="138" spans="1:20" x14ac:dyDescent="0.2">
      <c r="A138" t="s">
        <v>642</v>
      </c>
      <c r="B138" t="str">
        <f t="shared" si="7"/>
        <v>Word_Internal_Final.dashboard deck</v>
      </c>
      <c r="C138" t="str">
        <f t="shared" ca="1" si="10"/>
        <v>Word_DashboardDeck_Internal_2025-08-16_Final</v>
      </c>
      <c r="D138" t="s">
        <v>238</v>
      </c>
      <c r="E138" t="s">
        <v>659</v>
      </c>
      <c r="F138" t="s">
        <v>39</v>
      </c>
      <c r="G138" t="s">
        <v>31</v>
      </c>
      <c r="H138" t="s">
        <v>160</v>
      </c>
      <c r="I138" t="s">
        <v>41</v>
      </c>
      <c r="J138" t="s">
        <v>119</v>
      </c>
      <c r="K138" t="s">
        <v>41</v>
      </c>
      <c r="L138" s="13">
        <f t="shared" ca="1" si="8"/>
        <v>45885</v>
      </c>
      <c r="M138" t="s">
        <v>37</v>
      </c>
      <c r="P138" t="s">
        <v>119</v>
      </c>
      <c r="Q138" t="s">
        <v>119</v>
      </c>
      <c r="R138" t="s">
        <v>119</v>
      </c>
      <c r="S138" t="s">
        <v>47</v>
      </c>
      <c r="T138" t="s">
        <v>47</v>
      </c>
    </row>
    <row r="139" spans="1:20" x14ac:dyDescent="0.2">
      <c r="A139" t="s">
        <v>643</v>
      </c>
      <c r="B139" t="str">
        <f t="shared" si="7"/>
        <v>Excel_Internal_Draft.dashboard deck</v>
      </c>
      <c r="C139" t="str">
        <f t="shared" ca="1" si="10"/>
        <v>Excel_DashboardDeck_Internal_2025-05-04_Draft</v>
      </c>
      <c r="D139" t="s">
        <v>238</v>
      </c>
      <c r="E139" t="s">
        <v>659</v>
      </c>
      <c r="F139" t="s">
        <v>39</v>
      </c>
      <c r="G139" t="s">
        <v>30</v>
      </c>
      <c r="H139" t="s">
        <v>160</v>
      </c>
      <c r="I139" t="s">
        <v>41</v>
      </c>
      <c r="J139" t="s">
        <v>119</v>
      </c>
      <c r="K139" t="s">
        <v>41</v>
      </c>
      <c r="L139" s="13">
        <f t="shared" ca="1" si="8"/>
        <v>45781</v>
      </c>
      <c r="M139" t="s">
        <v>36</v>
      </c>
      <c r="P139" t="s">
        <v>119</v>
      </c>
      <c r="Q139" t="s">
        <v>119</v>
      </c>
      <c r="R139" t="s">
        <v>119</v>
      </c>
      <c r="S139" t="s">
        <v>47</v>
      </c>
      <c r="T139" t="s">
        <v>47</v>
      </c>
    </row>
    <row r="140" spans="1:20" x14ac:dyDescent="0.2">
      <c r="A140" t="s">
        <v>644</v>
      </c>
      <c r="B140" t="str">
        <f t="shared" si="7"/>
        <v>Word_Internal_Final.appeal</v>
      </c>
      <c r="C140" t="str">
        <f t="shared" ca="1" si="10"/>
        <v>Word_Appeal_Internal_2025-11-08_Final</v>
      </c>
      <c r="D140" t="s">
        <v>192</v>
      </c>
      <c r="E140" t="s">
        <v>661</v>
      </c>
      <c r="F140" t="s">
        <v>25</v>
      </c>
      <c r="G140" t="s">
        <v>31</v>
      </c>
      <c r="H140" t="s">
        <v>671</v>
      </c>
      <c r="I140" t="s">
        <v>41</v>
      </c>
      <c r="J140" t="s">
        <v>119</v>
      </c>
      <c r="K140" t="s">
        <v>41</v>
      </c>
      <c r="L140" s="13">
        <f t="shared" ca="1" si="8"/>
        <v>45969</v>
      </c>
      <c r="M140" t="s">
        <v>37</v>
      </c>
      <c r="P140" t="s">
        <v>119</v>
      </c>
      <c r="Q140" t="s">
        <v>119</v>
      </c>
      <c r="R140" t="s">
        <v>119</v>
      </c>
      <c r="S140" t="s">
        <v>47</v>
      </c>
      <c r="T140" t="s">
        <v>47</v>
      </c>
    </row>
    <row r="141" spans="1:20" x14ac:dyDescent="0.2">
      <c r="A141" t="s">
        <v>645</v>
      </c>
      <c r="B141" t="str">
        <f t="shared" si="7"/>
        <v>Scan_Internal_Draft.appeal</v>
      </c>
      <c r="C141" t="str">
        <f t="shared" ca="1" si="10"/>
        <v>Scan_Appeal_Internal_2025-08-24_Draft</v>
      </c>
      <c r="D141" t="s">
        <v>192</v>
      </c>
      <c r="E141" t="s">
        <v>661</v>
      </c>
      <c r="F141" t="s">
        <v>25</v>
      </c>
      <c r="G141" t="s">
        <v>34</v>
      </c>
      <c r="H141" t="s">
        <v>671</v>
      </c>
      <c r="I141" t="s">
        <v>41</v>
      </c>
      <c r="J141" t="s">
        <v>119</v>
      </c>
      <c r="K141" t="s">
        <v>41</v>
      </c>
      <c r="L141" s="13">
        <f t="shared" ca="1" si="8"/>
        <v>45893</v>
      </c>
      <c r="M141" t="s">
        <v>36</v>
      </c>
      <c r="P141" t="s">
        <v>119</v>
      </c>
      <c r="Q141" t="s">
        <v>119</v>
      </c>
      <c r="R141" t="s">
        <v>119</v>
      </c>
      <c r="S141" t="s">
        <v>47</v>
      </c>
      <c r="T141" t="s">
        <v>47</v>
      </c>
    </row>
    <row r="142" spans="1:20" x14ac:dyDescent="0.2">
      <c r="A142" t="s">
        <v>646</v>
      </c>
      <c r="B142" t="str">
        <f t="shared" si="7"/>
        <v>PowerPoint_Internal_Final.appeal</v>
      </c>
      <c r="C142" t="str">
        <f t="shared" ca="1" si="10"/>
        <v>PowerPoint_Appeal_Internal_2025-02-15_Final</v>
      </c>
      <c r="D142" t="s">
        <v>192</v>
      </c>
      <c r="E142" t="s">
        <v>661</v>
      </c>
      <c r="F142" t="s">
        <v>25</v>
      </c>
      <c r="G142" t="s">
        <v>159</v>
      </c>
      <c r="H142" t="s">
        <v>671</v>
      </c>
      <c r="I142" t="s">
        <v>41</v>
      </c>
      <c r="J142" t="s">
        <v>119</v>
      </c>
      <c r="K142" t="s">
        <v>41</v>
      </c>
      <c r="L142" s="13">
        <f t="shared" ca="1" si="8"/>
        <v>45703</v>
      </c>
      <c r="M142" t="s">
        <v>37</v>
      </c>
      <c r="P142" t="s">
        <v>119</v>
      </c>
      <c r="Q142" t="s">
        <v>119</v>
      </c>
      <c r="R142" t="s">
        <v>119</v>
      </c>
      <c r="S142" t="s">
        <v>47</v>
      </c>
      <c r="T142" t="s">
        <v>47</v>
      </c>
    </row>
    <row r="143" spans="1:20" x14ac:dyDescent="0.2">
      <c r="A143" t="s">
        <v>647</v>
      </c>
      <c r="B143" t="str">
        <f t="shared" si="7"/>
        <v>PowerPoint_Internal_Draft.appeal</v>
      </c>
      <c r="C143" t="str">
        <f t="shared" ca="1" si="10"/>
        <v>PowerPoint_Appeal_Internal_2025-04-15_Draft</v>
      </c>
      <c r="D143" t="s">
        <v>192</v>
      </c>
      <c r="E143" t="s">
        <v>661</v>
      </c>
      <c r="F143" t="s">
        <v>25</v>
      </c>
      <c r="G143" t="s">
        <v>159</v>
      </c>
      <c r="H143" t="s">
        <v>671</v>
      </c>
      <c r="I143" t="s">
        <v>41</v>
      </c>
      <c r="J143" t="s">
        <v>119</v>
      </c>
      <c r="K143" t="s">
        <v>41</v>
      </c>
      <c r="L143" s="13">
        <f t="shared" ca="1" si="8"/>
        <v>45762</v>
      </c>
      <c r="M143" t="s">
        <v>36</v>
      </c>
      <c r="P143" t="s">
        <v>119</v>
      </c>
      <c r="Q143" t="s">
        <v>119</v>
      </c>
      <c r="R143" t="s">
        <v>119</v>
      </c>
      <c r="S143" t="s">
        <v>47</v>
      </c>
      <c r="T143" t="s">
        <v>47</v>
      </c>
    </row>
    <row r="144" spans="1:20" x14ac:dyDescent="0.2">
      <c r="A144" t="s">
        <v>648</v>
      </c>
      <c r="B144" t="str">
        <f t="shared" si="7"/>
        <v>PowerPoint_Internal_Draft.appeal</v>
      </c>
      <c r="C144" t="str">
        <f t="shared" ca="1" si="10"/>
        <v>PowerPoint_Appeal_Internal_2025-01-22_Draft</v>
      </c>
      <c r="D144" t="s">
        <v>192</v>
      </c>
      <c r="E144" t="s">
        <v>661</v>
      </c>
      <c r="F144" t="s">
        <v>25</v>
      </c>
      <c r="G144" t="s">
        <v>159</v>
      </c>
      <c r="H144" t="s">
        <v>671</v>
      </c>
      <c r="I144" t="s">
        <v>41</v>
      </c>
      <c r="J144" t="s">
        <v>119</v>
      </c>
      <c r="K144" t="s">
        <v>41</v>
      </c>
      <c r="L144" s="13">
        <f t="shared" ca="1" si="8"/>
        <v>45679</v>
      </c>
      <c r="M144" t="s">
        <v>36</v>
      </c>
      <c r="P144" t="s">
        <v>119</v>
      </c>
      <c r="Q144" t="s">
        <v>119</v>
      </c>
      <c r="R144" t="s">
        <v>119</v>
      </c>
      <c r="S144" t="s">
        <v>47</v>
      </c>
      <c r="T144" t="s">
        <v>47</v>
      </c>
    </row>
    <row r="145" spans="1:20" x14ac:dyDescent="0.2">
      <c r="A145" t="s">
        <v>649</v>
      </c>
      <c r="B145" t="str">
        <f t="shared" si="7"/>
        <v>Word_Internal_Draft.appeal</v>
      </c>
      <c r="C145" t="str">
        <f t="shared" ca="1" si="10"/>
        <v>Word_Appeal_Internal_2025-03-03_Draft</v>
      </c>
      <c r="D145" t="s">
        <v>192</v>
      </c>
      <c r="E145" t="s">
        <v>661</v>
      </c>
      <c r="F145" t="s">
        <v>25</v>
      </c>
      <c r="G145" t="s">
        <v>31</v>
      </c>
      <c r="H145" t="s">
        <v>671</v>
      </c>
      <c r="I145" t="s">
        <v>41</v>
      </c>
      <c r="J145" t="s">
        <v>119</v>
      </c>
      <c r="K145" t="s">
        <v>41</v>
      </c>
      <c r="L145" s="13">
        <f t="shared" ca="1" si="8"/>
        <v>45719</v>
      </c>
      <c r="M145" t="s">
        <v>36</v>
      </c>
      <c r="P145" t="s">
        <v>119</v>
      </c>
      <c r="Q145" t="s">
        <v>119</v>
      </c>
      <c r="R145" t="s">
        <v>119</v>
      </c>
      <c r="S145" t="s">
        <v>47</v>
      </c>
      <c r="T145" t="s">
        <v>47</v>
      </c>
    </row>
    <row r="146" spans="1:20" x14ac:dyDescent="0.2">
      <c r="A146" t="s">
        <v>650</v>
      </c>
      <c r="B146" t="str">
        <f t="shared" si="7"/>
        <v>Word_Internal_Final.appeal</v>
      </c>
      <c r="C146" t="str">
        <f t="shared" ca="1" si="10"/>
        <v>Word_Appeal_Internal_2025-12-19_Final</v>
      </c>
      <c r="D146" t="s">
        <v>192</v>
      </c>
      <c r="E146" t="s">
        <v>661</v>
      </c>
      <c r="F146" t="s">
        <v>25</v>
      </c>
      <c r="G146" t="s">
        <v>31</v>
      </c>
      <c r="H146" t="s">
        <v>671</v>
      </c>
      <c r="I146" t="s">
        <v>41</v>
      </c>
      <c r="J146" t="s">
        <v>119</v>
      </c>
      <c r="K146" t="s">
        <v>41</v>
      </c>
      <c r="L146" s="13">
        <f t="shared" ca="1" si="8"/>
        <v>46010</v>
      </c>
      <c r="M146" t="s">
        <v>37</v>
      </c>
      <c r="P146" t="s">
        <v>119</v>
      </c>
      <c r="Q146" t="s">
        <v>119</v>
      </c>
      <c r="R146" t="s">
        <v>119</v>
      </c>
      <c r="S146" t="s">
        <v>47</v>
      </c>
      <c r="T146" t="s">
        <v>47</v>
      </c>
    </row>
    <row r="147" spans="1:20" x14ac:dyDescent="0.2">
      <c r="A147" t="s">
        <v>651</v>
      </c>
      <c r="B147" t="str">
        <f t="shared" si="7"/>
        <v>Excel_Internal_Draft.case file</v>
      </c>
      <c r="C147" t="str">
        <f t="shared" ca="1" si="10"/>
        <v>Excel_CaseFile_Internal_2025-04-28_Draft</v>
      </c>
      <c r="D147" t="s">
        <v>656</v>
      </c>
      <c r="E147" t="s">
        <v>662</v>
      </c>
      <c r="F147" t="s">
        <v>27</v>
      </c>
      <c r="G147" t="s">
        <v>30</v>
      </c>
      <c r="H147" t="s">
        <v>668</v>
      </c>
      <c r="I147" t="s">
        <v>41</v>
      </c>
      <c r="J147" t="s">
        <v>119</v>
      </c>
      <c r="K147" t="s">
        <v>41</v>
      </c>
      <c r="L147" s="13">
        <f t="shared" ca="1" si="8"/>
        <v>45775</v>
      </c>
      <c r="M147" t="s">
        <v>36</v>
      </c>
      <c r="P147" t="s">
        <v>119</v>
      </c>
      <c r="Q147" t="s">
        <v>119</v>
      </c>
      <c r="R147" t="s">
        <v>119</v>
      </c>
      <c r="S147" t="s">
        <v>47</v>
      </c>
      <c r="T147" t="s">
        <v>47</v>
      </c>
    </row>
    <row r="148" spans="1:20" x14ac:dyDescent="0.2">
      <c r="A148" t="s">
        <v>652</v>
      </c>
      <c r="B148" t="str">
        <f t="shared" si="7"/>
        <v>Excel_Internal_Final.case file</v>
      </c>
      <c r="C148" t="str">
        <f t="shared" ca="1" si="10"/>
        <v>Excel_CaseFile_Internal_2025-10-15_Final</v>
      </c>
      <c r="D148" t="s">
        <v>656</v>
      </c>
      <c r="E148" t="s">
        <v>662</v>
      </c>
      <c r="F148" t="s">
        <v>27</v>
      </c>
      <c r="G148" t="s">
        <v>30</v>
      </c>
      <c r="H148" t="s">
        <v>668</v>
      </c>
      <c r="I148" t="s">
        <v>41</v>
      </c>
      <c r="J148" t="s">
        <v>119</v>
      </c>
      <c r="K148" t="s">
        <v>41</v>
      </c>
      <c r="L148" s="13">
        <f t="shared" ca="1" si="8"/>
        <v>45945</v>
      </c>
      <c r="M148" t="s">
        <v>37</v>
      </c>
      <c r="P148" t="s">
        <v>119</v>
      </c>
      <c r="Q148" t="s">
        <v>119</v>
      </c>
      <c r="R148" t="s">
        <v>119</v>
      </c>
      <c r="S148" t="s">
        <v>47</v>
      </c>
      <c r="T148" t="s">
        <v>47</v>
      </c>
    </row>
    <row r="149" spans="1:20" x14ac:dyDescent="0.2">
      <c r="A149" t="s">
        <v>653</v>
      </c>
      <c r="B149" t="str">
        <f t="shared" si="7"/>
        <v>Word_Internal_Final.case file</v>
      </c>
      <c r="C149" t="str">
        <f t="shared" ca="1" si="10"/>
        <v>Word_CaseFile_Internal_2025-12-15_Final</v>
      </c>
      <c r="D149" t="s">
        <v>656</v>
      </c>
      <c r="E149" t="s">
        <v>662</v>
      </c>
      <c r="F149" t="s">
        <v>27</v>
      </c>
      <c r="G149" t="s">
        <v>31</v>
      </c>
      <c r="H149" t="s">
        <v>668</v>
      </c>
      <c r="I149" t="s">
        <v>41</v>
      </c>
      <c r="J149" t="s">
        <v>119</v>
      </c>
      <c r="K149" t="s">
        <v>41</v>
      </c>
      <c r="L149" s="13">
        <f t="shared" ca="1" si="8"/>
        <v>46006</v>
      </c>
      <c r="M149" t="s">
        <v>37</v>
      </c>
      <c r="P149" t="s">
        <v>119</v>
      </c>
      <c r="Q149" t="s">
        <v>119</v>
      </c>
      <c r="R149" t="s">
        <v>119</v>
      </c>
      <c r="S149" t="s">
        <v>47</v>
      </c>
      <c r="T149" t="s">
        <v>47</v>
      </c>
    </row>
    <row r="150" spans="1:20" x14ac:dyDescent="0.2">
      <c r="A150" t="s">
        <v>654</v>
      </c>
      <c r="B150" t="str">
        <f t="shared" si="7"/>
        <v>EmailExport_Internal_Draft.meeting notes</v>
      </c>
      <c r="C150" t="str">
        <f t="shared" ca="1" si="10"/>
        <v>EmailExport_MeetingNotes_Internal_2025-09-08_Draft</v>
      </c>
      <c r="D150" t="s">
        <v>656</v>
      </c>
      <c r="E150" t="s">
        <v>662</v>
      </c>
      <c r="F150" t="s">
        <v>27</v>
      </c>
      <c r="G150" t="s">
        <v>33</v>
      </c>
      <c r="H150" t="s">
        <v>250</v>
      </c>
      <c r="I150" t="s">
        <v>41</v>
      </c>
      <c r="J150" t="s">
        <v>119</v>
      </c>
      <c r="K150" t="s">
        <v>41</v>
      </c>
      <c r="L150" s="13">
        <f t="shared" ca="1" si="8"/>
        <v>45908</v>
      </c>
      <c r="M150" t="s">
        <v>36</v>
      </c>
      <c r="P150" t="s">
        <v>119</v>
      </c>
      <c r="Q150" t="s">
        <v>119</v>
      </c>
      <c r="R150" t="s">
        <v>119</v>
      </c>
      <c r="S150" t="s">
        <v>47</v>
      </c>
      <c r="T150" t="s">
        <v>47</v>
      </c>
    </row>
  </sheetData>
  <phoneticPr fontId="5" type="noConversion"/>
  <conditionalFormatting sqref="J1:J1048576">
    <cfRule type="cellIs" dxfId="3" priority="3" operator="equal">
      <formula>"Yes"</formula>
    </cfRule>
  </conditionalFormatting>
  <conditionalFormatting sqref="P2:P150">
    <cfRule type="cellIs" dxfId="2" priority="2" operator="equal">
      <formula>"Yes"</formula>
    </cfRule>
  </conditionalFormatting>
  <conditionalFormatting sqref="S2:S150">
    <cfRule type="cellIs" dxfId="1" priority="1" operator="equal">
      <formula>"Not Started"</formula>
    </cfRule>
  </conditionalFormatting>
  <dataValidations count="2">
    <dataValidation type="list" allowBlank="1" showInputMessage="1" showErrorMessage="1" sqref="I151:I1048576 N151:O1048576 Q151:R1048576 O1:R1 J1:J150 R2:R150" xr:uid="{DFDD562C-C5FD-C348-A545-BB1F620854D1}">
      <formula1>"Yes, No"</formula1>
    </dataValidation>
    <dataValidation type="list" allowBlank="1" showInputMessage="1" showErrorMessage="1" sqref="S2:S150" xr:uid="{E4B0D629-17F9-F44F-A214-E34506BC361C}">
      <formula1>"Keep, Dispose, Review, Not Started"</formula1>
    </dataValidation>
  </dataValidations>
  <pageMargins left="0.7" right="0.7" top="0.75" bottom="0.75" header="0.3" footer="0.3"/>
  <pageSetup orientation="portrait" horizontalDpi="0" verticalDpi="0"/>
  <tableParts count="1">
    <tablePart r:id="rId1"/>
  </tableParts>
  <extLst>
    <ext xmlns:x14="http://schemas.microsoft.com/office/spreadsheetml/2009/9/main" uri="{CCE6A557-97BC-4b89-ADB6-D9C93CAAB3DF}">
      <x14:dataValidations xmlns:xm="http://schemas.microsoft.com/office/excel/2006/main" count="9">
        <x14:dataValidation type="list" allowBlank="1" showInputMessage="1" showErrorMessage="1" xr:uid="{CA52E5D9-A0A7-FB49-916D-66559ADCF8E5}">
          <x14:formula1>
            <xm:f>Lookup_Lists!$A$2:$A$7</xm:f>
          </x14:formula1>
          <xm:sqref>E151:E1048576 F1</xm:sqref>
        </x14:dataValidation>
        <x14:dataValidation type="list" allowBlank="1" showInputMessage="1" showErrorMessage="1" xr:uid="{85C59007-168C-884C-91F8-EAD8242EB121}">
          <x14:formula1>
            <xm:f>Lookup_Lists!$B$2:$B$6</xm:f>
          </x14:formula1>
          <xm:sqref>F151:F1048576 G1</xm:sqref>
        </x14:dataValidation>
        <x14:dataValidation type="list" allowBlank="1" showInputMessage="1" showErrorMessage="1" xr:uid="{4C72755A-31FE-C040-8A5D-D50FBE3EE188}">
          <x14:formula1>
            <xm:f>Lookup_Lists!$C$2:$C$4</xm:f>
          </x14:formula1>
          <xm:sqref>L151:L1048576 M1</xm:sqref>
        </x14:dataValidation>
        <x14:dataValidation type="list" allowBlank="1" showInputMessage="1" showErrorMessage="1" xr:uid="{F9D40090-28AF-0E46-A8F6-5E35B4DDA9AE}">
          <x14:formula1>
            <xm:f>Lookup_Lists!$D$2:$D$4</xm:f>
          </x14:formula1>
          <xm:sqref>J151:J1048576 K1:K150</xm:sqref>
        </x14:dataValidation>
        <x14:dataValidation type="list" allowBlank="1" showInputMessage="1" showErrorMessage="1" xr:uid="{A36C80B9-BF97-0B4A-9DA1-7E1B00FAC375}">
          <x14:formula1>
            <xm:f>Lookup_Lists!$E$2:$E$4</xm:f>
          </x14:formula1>
          <xm:sqref>S1</xm:sqref>
        </x14:dataValidation>
        <x14:dataValidation type="list" allowBlank="1" showInputMessage="1" showErrorMessage="1" xr:uid="{B60BE433-30A6-3741-8B28-9A34DFBA7711}">
          <x14:formula1>
            <xm:f>Lookup_Lists!$F$2:$F$7</xm:f>
          </x14:formula1>
          <xm:sqref>S151:S1048576 T1:T1048576</xm:sqref>
        </x14:dataValidation>
        <x14:dataValidation type="list" allowBlank="1" showInputMessage="1" showErrorMessage="1" xr:uid="{06BEAA82-B15A-5B43-BE92-0AF027C4D828}">
          <x14:formula1>
            <xm:f>Lookup_Lists!$A$2:$A$8</xm:f>
          </x14:formula1>
          <xm:sqref>F2:F150</xm:sqref>
        </x14:dataValidation>
        <x14:dataValidation type="list" allowBlank="1" showInputMessage="1" showErrorMessage="1" xr:uid="{2FA78F9E-7943-AC4F-9BD5-D0A39227CDFE}">
          <x14:formula1>
            <xm:f>Lookup_Lists!$B$2:$B$7</xm:f>
          </x14:formula1>
          <xm:sqref>G2:G150</xm:sqref>
        </x14:dataValidation>
        <x14:dataValidation type="list" allowBlank="1" showInputMessage="1" showErrorMessage="1" xr:uid="{B07839EA-9E1C-514C-B4FE-7C103918D9F1}">
          <x14:formula1>
            <xm:f>Lookup_Lists!$I$2:$I$11</xm:f>
          </x14:formula1>
          <xm:sqref>E2:E150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4CF28-9542-8E4C-BCD8-38DDCCA59FBD}">
  <dimension ref="A1:V150"/>
  <sheetViews>
    <sheetView showGridLines="0" showRowColHeaders="0" zoomScale="200" zoomScaleNormal="200" workbookViewId="0">
      <selection activeCell="E170" sqref="E170"/>
    </sheetView>
  </sheetViews>
  <sheetFormatPr baseColWidth="10" defaultRowHeight="15" x14ac:dyDescent="0.2"/>
  <cols>
    <col min="1" max="1" width="9.5" bestFit="1" customWidth="1"/>
    <col min="2" max="2" width="50" bestFit="1" customWidth="1"/>
    <col min="3" max="3" width="56.83203125" bestFit="1" customWidth="1"/>
    <col min="4" max="4" width="55" bestFit="1" customWidth="1"/>
    <col min="5" max="5" width="36.5" bestFit="1" customWidth="1"/>
    <col min="6" max="6" width="17.6640625" bestFit="1" customWidth="1"/>
    <col min="7" max="7" width="11" bestFit="1" customWidth="1"/>
    <col min="8" max="8" width="27.33203125" bestFit="1" customWidth="1"/>
    <col min="9" max="9" width="15.6640625" bestFit="1" customWidth="1"/>
    <col min="10" max="10" width="13.1640625" bestFit="1" customWidth="1"/>
    <col min="11" max="11" width="15.5" customWidth="1"/>
    <col min="12" max="12" width="18.1640625" style="3" customWidth="1"/>
    <col min="13" max="13" width="14.1640625" customWidth="1"/>
    <col min="14" max="14" width="18.1640625" customWidth="1"/>
    <col min="15" max="15" width="13.83203125" customWidth="1"/>
    <col min="16" max="16" width="12.1640625" customWidth="1"/>
    <col min="17" max="17" width="18.6640625" customWidth="1"/>
    <col min="18" max="18" width="14.1640625" customWidth="1"/>
    <col min="19" max="19" width="25.1640625" customWidth="1"/>
    <col min="20" max="20" width="16.83203125" customWidth="1"/>
    <col min="21" max="21" width="42.6640625" bestFit="1" customWidth="1"/>
    <col min="22" max="22" width="40.33203125" bestFit="1" customWidth="1"/>
  </cols>
  <sheetData>
    <row r="1" spans="1:22" x14ac:dyDescent="0.2">
      <c r="A1" t="s">
        <v>2</v>
      </c>
      <c r="B1" t="s">
        <v>3</v>
      </c>
      <c r="C1" t="s">
        <v>4</v>
      </c>
      <c r="D1" t="s">
        <v>5</v>
      </c>
      <c r="E1" t="s">
        <v>95</v>
      </c>
      <c r="F1" t="s">
        <v>7</v>
      </c>
      <c r="G1" t="s">
        <v>8</v>
      </c>
      <c r="H1" t="s">
        <v>9</v>
      </c>
      <c r="I1" t="s">
        <v>10</v>
      </c>
      <c r="J1" t="s">
        <v>11</v>
      </c>
      <c r="K1" t="s">
        <v>12</v>
      </c>
      <c r="L1" s="3" t="s">
        <v>13</v>
      </c>
      <c r="M1" t="s">
        <v>14</v>
      </c>
      <c r="N1" t="s">
        <v>15</v>
      </c>
      <c r="O1" t="s">
        <v>16</v>
      </c>
      <c r="P1" t="s">
        <v>17</v>
      </c>
      <c r="Q1" t="s">
        <v>18</v>
      </c>
      <c r="R1" t="s">
        <v>19</v>
      </c>
      <c r="S1" t="s">
        <v>20</v>
      </c>
      <c r="T1" t="s">
        <v>21</v>
      </c>
      <c r="U1" t="s">
        <v>22</v>
      </c>
      <c r="V1" t="s">
        <v>1</v>
      </c>
    </row>
    <row r="2" spans="1:22" x14ac:dyDescent="0.2">
      <c r="A2" t="s">
        <v>54</v>
      </c>
      <c r="B2" t="s">
        <v>115</v>
      </c>
      <c r="C2" t="s">
        <v>676</v>
      </c>
      <c r="D2" t="s">
        <v>116</v>
      </c>
      <c r="E2" t="s">
        <v>672</v>
      </c>
      <c r="F2" t="s">
        <v>24</v>
      </c>
      <c r="G2" t="s">
        <v>30</v>
      </c>
      <c r="H2" t="s">
        <v>121</v>
      </c>
      <c r="I2" t="s">
        <v>118</v>
      </c>
      <c r="J2" t="s">
        <v>119</v>
      </c>
      <c r="K2" t="s">
        <v>41</v>
      </c>
      <c r="L2" s="3">
        <v>46070</v>
      </c>
      <c r="M2" t="s">
        <v>36</v>
      </c>
      <c r="N2" t="s">
        <v>93</v>
      </c>
      <c r="O2" t="s">
        <v>94</v>
      </c>
      <c r="P2" t="s">
        <v>119</v>
      </c>
      <c r="Q2" t="s">
        <v>119</v>
      </c>
      <c r="R2" t="s">
        <v>119</v>
      </c>
      <c r="S2" t="s">
        <v>46</v>
      </c>
      <c r="T2" t="s">
        <v>49</v>
      </c>
      <c r="U2" t="s">
        <v>122</v>
      </c>
      <c r="V2" t="s">
        <v>123</v>
      </c>
    </row>
    <row r="3" spans="1:22" x14ac:dyDescent="0.2">
      <c r="A3" t="s">
        <v>55</v>
      </c>
      <c r="B3" t="s">
        <v>101</v>
      </c>
      <c r="C3" t="s">
        <v>677</v>
      </c>
      <c r="D3" t="s">
        <v>116</v>
      </c>
      <c r="E3" t="s">
        <v>112</v>
      </c>
      <c r="F3" t="s">
        <v>24</v>
      </c>
      <c r="G3" t="s">
        <v>30</v>
      </c>
      <c r="H3" t="s">
        <v>121</v>
      </c>
      <c r="I3" t="s">
        <v>118</v>
      </c>
      <c r="J3" t="s">
        <v>119</v>
      </c>
      <c r="K3" t="s">
        <v>41</v>
      </c>
      <c r="L3" s="3">
        <v>46069</v>
      </c>
      <c r="M3" t="s">
        <v>36</v>
      </c>
      <c r="N3" t="s">
        <v>93</v>
      </c>
      <c r="O3" t="s">
        <v>94</v>
      </c>
      <c r="P3" t="s">
        <v>119</v>
      </c>
      <c r="Q3" t="s">
        <v>94</v>
      </c>
      <c r="R3" t="s">
        <v>119</v>
      </c>
      <c r="S3" t="s">
        <v>45</v>
      </c>
      <c r="T3" t="s">
        <v>49</v>
      </c>
      <c r="U3" t="s">
        <v>125</v>
      </c>
      <c r="V3" t="s">
        <v>126</v>
      </c>
    </row>
    <row r="4" spans="1:22" x14ac:dyDescent="0.2">
      <c r="A4" t="s">
        <v>56</v>
      </c>
      <c r="B4" t="s">
        <v>102</v>
      </c>
      <c r="C4" t="s">
        <v>678</v>
      </c>
      <c r="D4" t="s">
        <v>116</v>
      </c>
      <c r="E4" t="s">
        <v>672</v>
      </c>
      <c r="F4" t="s">
        <v>24</v>
      </c>
      <c r="G4" t="s">
        <v>30</v>
      </c>
      <c r="H4" t="s">
        <v>128</v>
      </c>
      <c r="I4" t="s">
        <v>118</v>
      </c>
      <c r="J4" t="s">
        <v>119</v>
      </c>
      <c r="K4" t="s">
        <v>41</v>
      </c>
      <c r="L4" s="3">
        <v>46070</v>
      </c>
      <c r="M4" t="s">
        <v>37</v>
      </c>
      <c r="N4" t="s">
        <v>109</v>
      </c>
      <c r="O4" t="s">
        <v>94</v>
      </c>
      <c r="P4" t="s">
        <v>119</v>
      </c>
      <c r="Q4" t="s">
        <v>119</v>
      </c>
      <c r="R4" t="s">
        <v>119</v>
      </c>
      <c r="S4" t="s">
        <v>44</v>
      </c>
      <c r="T4" t="s">
        <v>47</v>
      </c>
      <c r="U4" t="s">
        <v>129</v>
      </c>
      <c r="V4" t="s">
        <v>130</v>
      </c>
    </row>
    <row r="5" spans="1:22" x14ac:dyDescent="0.2">
      <c r="A5" t="s">
        <v>57</v>
      </c>
      <c r="B5" t="s">
        <v>103</v>
      </c>
      <c r="C5" t="s">
        <v>679</v>
      </c>
      <c r="D5" t="s">
        <v>116</v>
      </c>
      <c r="E5" t="s">
        <v>672</v>
      </c>
      <c r="F5" t="s">
        <v>24</v>
      </c>
      <c r="G5" t="s">
        <v>30</v>
      </c>
      <c r="H5" t="s">
        <v>128</v>
      </c>
      <c r="I5" t="s">
        <v>118</v>
      </c>
      <c r="J5" t="s">
        <v>119</v>
      </c>
      <c r="K5" t="s">
        <v>41</v>
      </c>
      <c r="L5" s="3">
        <v>46070</v>
      </c>
      <c r="M5" t="s">
        <v>131</v>
      </c>
      <c r="N5" t="s">
        <v>109</v>
      </c>
      <c r="O5" t="s">
        <v>94</v>
      </c>
      <c r="P5" t="s">
        <v>119</v>
      </c>
      <c r="Q5" t="s">
        <v>94</v>
      </c>
      <c r="R5" t="s">
        <v>119</v>
      </c>
      <c r="S5" t="s">
        <v>45</v>
      </c>
      <c r="T5" t="s">
        <v>49</v>
      </c>
      <c r="U5" t="s">
        <v>132</v>
      </c>
      <c r="V5" t="s">
        <v>133</v>
      </c>
    </row>
    <row r="6" spans="1:22" x14ac:dyDescent="0.2">
      <c r="A6" t="s">
        <v>58</v>
      </c>
      <c r="B6" t="s">
        <v>104</v>
      </c>
      <c r="C6" t="s">
        <v>680</v>
      </c>
      <c r="D6" t="s">
        <v>116</v>
      </c>
      <c r="E6" t="s">
        <v>112</v>
      </c>
      <c r="F6" t="s">
        <v>24</v>
      </c>
      <c r="G6" t="s">
        <v>30</v>
      </c>
      <c r="H6" t="s">
        <v>135</v>
      </c>
      <c r="I6" t="s">
        <v>118</v>
      </c>
      <c r="J6" t="s">
        <v>119</v>
      </c>
      <c r="K6" t="s">
        <v>41</v>
      </c>
      <c r="L6" s="3">
        <v>46068</v>
      </c>
      <c r="M6" t="s">
        <v>36</v>
      </c>
      <c r="O6" t="s">
        <v>119</v>
      </c>
      <c r="P6" t="s">
        <v>119</v>
      </c>
      <c r="Q6" t="s">
        <v>119</v>
      </c>
      <c r="R6" t="s">
        <v>94</v>
      </c>
      <c r="S6" t="s">
        <v>45</v>
      </c>
      <c r="T6" t="s">
        <v>48</v>
      </c>
      <c r="U6" t="s">
        <v>339</v>
      </c>
      <c r="V6" t="s">
        <v>240</v>
      </c>
    </row>
    <row r="7" spans="1:22" x14ac:dyDescent="0.2">
      <c r="A7" t="s">
        <v>59</v>
      </c>
      <c r="B7" t="s">
        <v>105</v>
      </c>
      <c r="C7" t="s">
        <v>681</v>
      </c>
      <c r="D7" t="s">
        <v>116</v>
      </c>
      <c r="E7" t="s">
        <v>661</v>
      </c>
      <c r="F7" t="s">
        <v>24</v>
      </c>
      <c r="G7" t="s">
        <v>30</v>
      </c>
      <c r="H7" t="s">
        <v>137</v>
      </c>
      <c r="I7" t="s">
        <v>118</v>
      </c>
      <c r="J7" t="s">
        <v>119</v>
      </c>
      <c r="K7" t="s">
        <v>41</v>
      </c>
      <c r="L7" s="3">
        <v>46069</v>
      </c>
      <c r="M7" t="s">
        <v>37</v>
      </c>
      <c r="O7" t="s">
        <v>119</v>
      </c>
      <c r="P7" t="s">
        <v>119</v>
      </c>
      <c r="Q7" t="s">
        <v>119</v>
      </c>
      <c r="R7" t="s">
        <v>119</v>
      </c>
      <c r="S7" t="s">
        <v>44</v>
      </c>
      <c r="T7" t="s">
        <v>47</v>
      </c>
      <c r="U7" t="s">
        <v>138</v>
      </c>
      <c r="V7" t="s">
        <v>330</v>
      </c>
    </row>
    <row r="8" spans="1:22" x14ac:dyDescent="0.2">
      <c r="A8" t="s">
        <v>60</v>
      </c>
      <c r="B8" t="s">
        <v>106</v>
      </c>
      <c r="C8" t="s">
        <v>682</v>
      </c>
      <c r="D8" t="s">
        <v>116</v>
      </c>
      <c r="F8" t="s">
        <v>24</v>
      </c>
      <c r="G8" t="s">
        <v>30</v>
      </c>
      <c r="H8" t="s">
        <v>121</v>
      </c>
      <c r="I8" t="s">
        <v>118</v>
      </c>
      <c r="J8" t="s">
        <v>119</v>
      </c>
      <c r="K8" t="s">
        <v>41</v>
      </c>
      <c r="L8" s="3">
        <v>46067</v>
      </c>
      <c r="M8" t="s">
        <v>36</v>
      </c>
      <c r="N8" t="s">
        <v>93</v>
      </c>
      <c r="O8" t="s">
        <v>94</v>
      </c>
      <c r="P8" t="s">
        <v>94</v>
      </c>
      <c r="Q8" t="s">
        <v>94</v>
      </c>
      <c r="R8" t="s">
        <v>94</v>
      </c>
      <c r="S8" t="s">
        <v>45</v>
      </c>
      <c r="T8" t="s">
        <v>48</v>
      </c>
      <c r="U8" t="s">
        <v>139</v>
      </c>
      <c r="V8" t="s">
        <v>140</v>
      </c>
    </row>
    <row r="9" spans="1:22" x14ac:dyDescent="0.2">
      <c r="A9" t="s">
        <v>61</v>
      </c>
      <c r="B9" t="s">
        <v>107</v>
      </c>
      <c r="C9" t="s">
        <v>683</v>
      </c>
      <c r="D9" t="s">
        <v>116</v>
      </c>
      <c r="E9" t="s">
        <v>114</v>
      </c>
      <c r="F9" t="s">
        <v>24</v>
      </c>
      <c r="G9" t="s">
        <v>30</v>
      </c>
      <c r="H9" t="s">
        <v>142</v>
      </c>
      <c r="I9" t="s">
        <v>118</v>
      </c>
      <c r="J9" t="s">
        <v>119</v>
      </c>
      <c r="K9" t="s">
        <v>41</v>
      </c>
      <c r="L9" s="3">
        <v>46070</v>
      </c>
      <c r="M9" t="s">
        <v>36</v>
      </c>
      <c r="N9" t="s">
        <v>110</v>
      </c>
      <c r="O9" t="s">
        <v>94</v>
      </c>
      <c r="P9" t="s">
        <v>119</v>
      </c>
      <c r="Q9" t="s">
        <v>119</v>
      </c>
      <c r="R9" t="s">
        <v>119</v>
      </c>
      <c r="S9" t="s">
        <v>45</v>
      </c>
      <c r="T9" t="s">
        <v>49</v>
      </c>
      <c r="U9" t="s">
        <v>328</v>
      </c>
      <c r="V9" t="s">
        <v>338</v>
      </c>
    </row>
    <row r="10" spans="1:22" x14ac:dyDescent="0.2">
      <c r="A10" t="s">
        <v>62</v>
      </c>
      <c r="B10" t="s">
        <v>108</v>
      </c>
      <c r="C10" t="s">
        <v>683</v>
      </c>
      <c r="D10" t="s">
        <v>116</v>
      </c>
      <c r="E10" t="s">
        <v>114</v>
      </c>
      <c r="F10" t="s">
        <v>24</v>
      </c>
      <c r="G10" t="s">
        <v>30</v>
      </c>
      <c r="H10" t="s">
        <v>142</v>
      </c>
      <c r="I10" t="s">
        <v>118</v>
      </c>
      <c r="J10" t="s">
        <v>119</v>
      </c>
      <c r="K10" t="s">
        <v>41</v>
      </c>
      <c r="L10" s="3">
        <v>46070</v>
      </c>
      <c r="M10" t="s">
        <v>36</v>
      </c>
      <c r="N10" t="s">
        <v>110</v>
      </c>
      <c r="O10" t="s">
        <v>94</v>
      </c>
      <c r="P10" t="s">
        <v>119</v>
      </c>
      <c r="Q10" t="s">
        <v>119</v>
      </c>
      <c r="R10" t="s">
        <v>119</v>
      </c>
      <c r="S10" t="s">
        <v>44</v>
      </c>
      <c r="T10" t="s">
        <v>47</v>
      </c>
      <c r="U10" t="s">
        <v>327</v>
      </c>
      <c r="V10" t="s">
        <v>143</v>
      </c>
    </row>
    <row r="11" spans="1:22" x14ac:dyDescent="0.2">
      <c r="A11" t="s">
        <v>63</v>
      </c>
      <c r="B11" t="s">
        <v>144</v>
      </c>
      <c r="C11" t="s">
        <v>684</v>
      </c>
      <c r="D11" t="s">
        <v>146</v>
      </c>
      <c r="E11" t="s">
        <v>661</v>
      </c>
      <c r="F11" t="s">
        <v>28</v>
      </c>
      <c r="G11" t="s">
        <v>31</v>
      </c>
      <c r="H11" t="s">
        <v>147</v>
      </c>
      <c r="I11" t="s">
        <v>41</v>
      </c>
      <c r="J11" t="s">
        <v>119</v>
      </c>
      <c r="K11" t="s">
        <v>41</v>
      </c>
      <c r="L11" s="3">
        <v>46054</v>
      </c>
      <c r="M11" t="s">
        <v>37</v>
      </c>
      <c r="O11" t="s">
        <v>119</v>
      </c>
      <c r="P11" t="s">
        <v>119</v>
      </c>
      <c r="Q11" t="s">
        <v>119</v>
      </c>
      <c r="R11" t="s">
        <v>119</v>
      </c>
      <c r="S11" t="s">
        <v>44</v>
      </c>
      <c r="T11" t="s">
        <v>47</v>
      </c>
      <c r="U11" t="s">
        <v>148</v>
      </c>
      <c r="V11" t="s">
        <v>149</v>
      </c>
    </row>
    <row r="12" spans="1:22" x14ac:dyDescent="0.2">
      <c r="A12" t="s">
        <v>64</v>
      </c>
      <c r="B12" t="s">
        <v>150</v>
      </c>
      <c r="C12" t="s">
        <v>685</v>
      </c>
      <c r="D12" t="s">
        <v>146</v>
      </c>
      <c r="E12" t="s">
        <v>661</v>
      </c>
      <c r="F12" t="s">
        <v>28</v>
      </c>
      <c r="G12" t="s">
        <v>31</v>
      </c>
      <c r="H12" t="s">
        <v>147</v>
      </c>
      <c r="I12" t="s">
        <v>41</v>
      </c>
      <c r="J12" t="s">
        <v>119</v>
      </c>
      <c r="K12" t="s">
        <v>41</v>
      </c>
      <c r="L12" s="3">
        <v>46061</v>
      </c>
      <c r="M12" t="s">
        <v>37</v>
      </c>
      <c r="O12" t="s">
        <v>119</v>
      </c>
      <c r="P12" t="s">
        <v>119</v>
      </c>
      <c r="Q12" t="s">
        <v>119</v>
      </c>
      <c r="R12" t="s">
        <v>119</v>
      </c>
      <c r="S12" t="s">
        <v>44</v>
      </c>
      <c r="T12" t="s">
        <v>47</v>
      </c>
      <c r="U12" t="s">
        <v>148</v>
      </c>
      <c r="V12" t="s">
        <v>152</v>
      </c>
    </row>
    <row r="13" spans="1:22" x14ac:dyDescent="0.2">
      <c r="A13" t="s">
        <v>65</v>
      </c>
      <c r="B13" t="s">
        <v>153</v>
      </c>
      <c r="C13" t="s">
        <v>686</v>
      </c>
      <c r="D13" t="s">
        <v>146</v>
      </c>
      <c r="E13" t="s">
        <v>661</v>
      </c>
      <c r="F13" t="s">
        <v>28</v>
      </c>
      <c r="G13" t="s">
        <v>31</v>
      </c>
      <c r="H13" t="s">
        <v>147</v>
      </c>
      <c r="I13" t="s">
        <v>41</v>
      </c>
      <c r="J13" t="s">
        <v>119</v>
      </c>
      <c r="K13" t="s">
        <v>41</v>
      </c>
      <c r="L13" s="3">
        <v>46068</v>
      </c>
      <c r="M13" t="s">
        <v>37</v>
      </c>
      <c r="O13" t="s">
        <v>119</v>
      </c>
      <c r="P13" t="s">
        <v>119</v>
      </c>
      <c r="Q13" t="s">
        <v>119</v>
      </c>
      <c r="R13" t="s">
        <v>119</v>
      </c>
      <c r="S13" t="s">
        <v>44</v>
      </c>
      <c r="T13" t="s">
        <v>47</v>
      </c>
      <c r="U13" t="s">
        <v>148</v>
      </c>
      <c r="V13" t="s">
        <v>155</v>
      </c>
    </row>
    <row r="14" spans="1:22" x14ac:dyDescent="0.2">
      <c r="A14" t="s">
        <v>66</v>
      </c>
      <c r="B14" t="s">
        <v>156</v>
      </c>
      <c r="C14" t="s">
        <v>687</v>
      </c>
      <c r="D14" t="s">
        <v>146</v>
      </c>
      <c r="E14" t="s">
        <v>158</v>
      </c>
      <c r="F14" t="s">
        <v>28</v>
      </c>
      <c r="G14" t="s">
        <v>159</v>
      </c>
      <c r="H14" t="s">
        <v>160</v>
      </c>
      <c r="I14" t="s">
        <v>118</v>
      </c>
      <c r="J14" t="s">
        <v>119</v>
      </c>
      <c r="K14" t="s">
        <v>41</v>
      </c>
      <c r="L14" s="3">
        <v>46063</v>
      </c>
      <c r="M14" t="s">
        <v>36</v>
      </c>
      <c r="O14" t="s">
        <v>119</v>
      </c>
      <c r="P14" t="s">
        <v>119</v>
      </c>
      <c r="Q14" t="s">
        <v>94</v>
      </c>
      <c r="R14" t="s">
        <v>119</v>
      </c>
      <c r="S14" t="s">
        <v>46</v>
      </c>
      <c r="T14" t="s">
        <v>49</v>
      </c>
      <c r="U14" t="s">
        <v>161</v>
      </c>
      <c r="V14" t="s">
        <v>162</v>
      </c>
    </row>
    <row r="15" spans="1:22" x14ac:dyDescent="0.2">
      <c r="A15" t="s">
        <v>67</v>
      </c>
      <c r="B15" t="s">
        <v>163</v>
      </c>
      <c r="C15" t="s">
        <v>688</v>
      </c>
      <c r="D15" t="s">
        <v>146</v>
      </c>
      <c r="E15" t="s">
        <v>158</v>
      </c>
      <c r="F15" t="s">
        <v>28</v>
      </c>
      <c r="G15" t="s">
        <v>159</v>
      </c>
      <c r="H15" t="s">
        <v>160</v>
      </c>
      <c r="I15" t="s">
        <v>118</v>
      </c>
      <c r="J15" t="s">
        <v>119</v>
      </c>
      <c r="K15" t="s">
        <v>41</v>
      </c>
      <c r="L15" s="3">
        <v>46069</v>
      </c>
      <c r="M15" t="s">
        <v>37</v>
      </c>
      <c r="N15" t="s">
        <v>165</v>
      </c>
      <c r="O15" t="s">
        <v>94</v>
      </c>
      <c r="P15" t="s">
        <v>119</v>
      </c>
      <c r="Q15" t="s">
        <v>119</v>
      </c>
      <c r="R15" t="s">
        <v>119</v>
      </c>
      <c r="S15" t="s">
        <v>46</v>
      </c>
      <c r="T15" t="s">
        <v>49</v>
      </c>
      <c r="U15" t="s">
        <v>169</v>
      </c>
      <c r="V15" t="s">
        <v>167</v>
      </c>
    </row>
    <row r="16" spans="1:22" x14ac:dyDescent="0.2">
      <c r="A16" t="s">
        <v>70</v>
      </c>
      <c r="B16" t="s">
        <v>168</v>
      </c>
      <c r="C16" t="s">
        <v>689</v>
      </c>
      <c r="D16" t="s">
        <v>146</v>
      </c>
      <c r="E16" t="s">
        <v>158</v>
      </c>
      <c r="F16" t="s">
        <v>28</v>
      </c>
      <c r="G16" t="s">
        <v>159</v>
      </c>
      <c r="H16" t="s">
        <v>160</v>
      </c>
      <c r="I16" t="s">
        <v>118</v>
      </c>
      <c r="J16" t="s">
        <v>119</v>
      </c>
      <c r="K16" t="s">
        <v>41</v>
      </c>
      <c r="L16" s="3">
        <v>46070</v>
      </c>
      <c r="M16" t="s">
        <v>37</v>
      </c>
      <c r="N16" t="s">
        <v>165</v>
      </c>
      <c r="O16" t="s">
        <v>94</v>
      </c>
      <c r="P16" t="s">
        <v>119</v>
      </c>
      <c r="Q16" t="s">
        <v>119</v>
      </c>
      <c r="R16" t="s">
        <v>119</v>
      </c>
      <c r="S16" t="s">
        <v>44</v>
      </c>
      <c r="T16" t="s">
        <v>49</v>
      </c>
      <c r="U16" t="s">
        <v>166</v>
      </c>
      <c r="V16" t="s">
        <v>170</v>
      </c>
    </row>
    <row r="17" spans="1:22" x14ac:dyDescent="0.2">
      <c r="A17" t="s">
        <v>68</v>
      </c>
      <c r="B17" t="s">
        <v>171</v>
      </c>
      <c r="C17" t="s">
        <v>690</v>
      </c>
      <c r="D17" t="s">
        <v>146</v>
      </c>
      <c r="E17" t="s">
        <v>112</v>
      </c>
      <c r="F17" t="s">
        <v>28</v>
      </c>
      <c r="G17" t="s">
        <v>30</v>
      </c>
      <c r="H17" t="s">
        <v>173</v>
      </c>
      <c r="I17" t="s">
        <v>118</v>
      </c>
      <c r="J17" t="s">
        <v>119</v>
      </c>
      <c r="K17" t="s">
        <v>41</v>
      </c>
      <c r="L17" s="3">
        <v>46065</v>
      </c>
      <c r="M17" t="s">
        <v>36</v>
      </c>
      <c r="N17" t="s">
        <v>174</v>
      </c>
      <c r="O17" t="s">
        <v>94</v>
      </c>
      <c r="P17" t="s">
        <v>119</v>
      </c>
      <c r="Q17" t="s">
        <v>94</v>
      </c>
      <c r="R17" t="s">
        <v>119</v>
      </c>
      <c r="S17" t="s">
        <v>45</v>
      </c>
      <c r="T17" t="s">
        <v>49</v>
      </c>
      <c r="U17" t="s">
        <v>175</v>
      </c>
      <c r="V17" t="s">
        <v>176</v>
      </c>
    </row>
    <row r="18" spans="1:22" x14ac:dyDescent="0.2">
      <c r="A18" t="s">
        <v>69</v>
      </c>
      <c r="B18" t="s">
        <v>177</v>
      </c>
      <c r="C18" t="s">
        <v>691</v>
      </c>
      <c r="D18" t="s">
        <v>146</v>
      </c>
      <c r="E18" t="s">
        <v>158</v>
      </c>
      <c r="F18" t="s">
        <v>28</v>
      </c>
      <c r="G18" t="s">
        <v>30</v>
      </c>
      <c r="H18" t="s">
        <v>173</v>
      </c>
      <c r="I18" t="s">
        <v>118</v>
      </c>
      <c r="J18" t="s">
        <v>119</v>
      </c>
      <c r="K18" t="s">
        <v>41</v>
      </c>
      <c r="L18" s="3">
        <v>46069</v>
      </c>
      <c r="M18" t="s">
        <v>37</v>
      </c>
      <c r="N18" t="s">
        <v>174</v>
      </c>
      <c r="O18" t="s">
        <v>94</v>
      </c>
      <c r="P18" t="s">
        <v>119</v>
      </c>
      <c r="Q18" t="s">
        <v>119</v>
      </c>
      <c r="R18" t="s">
        <v>119</v>
      </c>
      <c r="S18" t="s">
        <v>44</v>
      </c>
      <c r="T18" t="s">
        <v>47</v>
      </c>
      <c r="U18" t="s">
        <v>179</v>
      </c>
      <c r="V18" t="s">
        <v>180</v>
      </c>
    </row>
    <row r="19" spans="1:22" x14ac:dyDescent="0.2">
      <c r="A19" t="s">
        <v>71</v>
      </c>
      <c r="B19" t="s">
        <v>181</v>
      </c>
      <c r="C19" t="s">
        <v>692</v>
      </c>
      <c r="D19" t="s">
        <v>146</v>
      </c>
      <c r="E19" t="s">
        <v>112</v>
      </c>
      <c r="F19" t="s">
        <v>28</v>
      </c>
      <c r="G19" t="s">
        <v>30</v>
      </c>
      <c r="H19" t="s">
        <v>182</v>
      </c>
      <c r="I19" t="s">
        <v>118</v>
      </c>
      <c r="J19" t="s">
        <v>119</v>
      </c>
      <c r="K19" t="s">
        <v>41</v>
      </c>
      <c r="L19" s="3">
        <v>46064</v>
      </c>
      <c r="M19" t="s">
        <v>36</v>
      </c>
      <c r="O19" t="s">
        <v>119</v>
      </c>
      <c r="P19" t="s">
        <v>119</v>
      </c>
      <c r="Q19" t="s">
        <v>119</v>
      </c>
      <c r="R19" t="s">
        <v>94</v>
      </c>
      <c r="S19" t="s">
        <v>45</v>
      </c>
      <c r="T19" t="s">
        <v>49</v>
      </c>
      <c r="U19" t="s">
        <v>183</v>
      </c>
      <c r="V19" t="s">
        <v>184</v>
      </c>
    </row>
    <row r="20" spans="1:22" x14ac:dyDescent="0.2">
      <c r="A20" t="s">
        <v>72</v>
      </c>
      <c r="B20" t="s">
        <v>185</v>
      </c>
      <c r="C20" t="s">
        <v>693</v>
      </c>
      <c r="D20" t="s">
        <v>146</v>
      </c>
      <c r="E20" t="s">
        <v>158</v>
      </c>
      <c r="F20" t="s">
        <v>28</v>
      </c>
      <c r="G20" t="s">
        <v>31</v>
      </c>
      <c r="H20" t="s">
        <v>187</v>
      </c>
      <c r="I20" t="s">
        <v>118</v>
      </c>
      <c r="J20" t="s">
        <v>119</v>
      </c>
      <c r="K20" t="s">
        <v>41</v>
      </c>
      <c r="L20" s="3">
        <v>46066</v>
      </c>
      <c r="M20" t="s">
        <v>36</v>
      </c>
      <c r="O20" t="s">
        <v>119</v>
      </c>
      <c r="P20" t="s">
        <v>119</v>
      </c>
      <c r="Q20" t="s">
        <v>94</v>
      </c>
      <c r="R20" t="s">
        <v>119</v>
      </c>
      <c r="S20" t="s">
        <v>46</v>
      </c>
      <c r="T20" t="s">
        <v>49</v>
      </c>
      <c r="U20" t="s">
        <v>188</v>
      </c>
      <c r="V20" t="s">
        <v>189</v>
      </c>
    </row>
    <row r="21" spans="1:22" x14ac:dyDescent="0.2">
      <c r="A21" t="s">
        <v>73</v>
      </c>
      <c r="B21" t="s">
        <v>190</v>
      </c>
      <c r="C21" t="s">
        <v>694</v>
      </c>
      <c r="D21" t="s">
        <v>192</v>
      </c>
      <c r="E21" t="s">
        <v>661</v>
      </c>
      <c r="F21" t="s">
        <v>25</v>
      </c>
      <c r="G21" t="s">
        <v>30</v>
      </c>
      <c r="H21" t="s">
        <v>193</v>
      </c>
      <c r="I21" t="s">
        <v>41</v>
      </c>
      <c r="J21" t="s">
        <v>119</v>
      </c>
      <c r="K21" t="s">
        <v>41</v>
      </c>
      <c r="L21" s="3">
        <v>46034</v>
      </c>
      <c r="M21" t="s">
        <v>36</v>
      </c>
      <c r="O21" t="s">
        <v>119</v>
      </c>
      <c r="P21" t="s">
        <v>119</v>
      </c>
      <c r="Q21" t="s">
        <v>94</v>
      </c>
      <c r="R21" t="s">
        <v>119</v>
      </c>
      <c r="S21" t="s">
        <v>46</v>
      </c>
      <c r="T21" t="s">
        <v>49</v>
      </c>
      <c r="U21" t="s">
        <v>194</v>
      </c>
      <c r="V21" t="s">
        <v>195</v>
      </c>
    </row>
    <row r="22" spans="1:22" x14ac:dyDescent="0.2">
      <c r="A22" t="s">
        <v>74</v>
      </c>
      <c r="B22" t="s">
        <v>196</v>
      </c>
      <c r="C22" t="s">
        <v>695</v>
      </c>
      <c r="D22" t="s">
        <v>192</v>
      </c>
      <c r="E22" t="s">
        <v>661</v>
      </c>
      <c r="F22" t="s">
        <v>25</v>
      </c>
      <c r="G22" t="s">
        <v>30</v>
      </c>
      <c r="H22" t="s">
        <v>193</v>
      </c>
      <c r="I22" t="s">
        <v>41</v>
      </c>
      <c r="J22" t="s">
        <v>119</v>
      </c>
      <c r="K22" t="s">
        <v>41</v>
      </c>
      <c r="L22" s="3">
        <v>46042</v>
      </c>
      <c r="M22" t="s">
        <v>37</v>
      </c>
      <c r="N22" t="s">
        <v>198</v>
      </c>
      <c r="O22" t="s">
        <v>94</v>
      </c>
      <c r="P22" t="s">
        <v>119</v>
      </c>
      <c r="Q22" t="s">
        <v>119</v>
      </c>
      <c r="R22" t="s">
        <v>119</v>
      </c>
      <c r="S22" t="s">
        <v>44</v>
      </c>
      <c r="T22" t="s">
        <v>47</v>
      </c>
      <c r="U22" t="s">
        <v>199</v>
      </c>
      <c r="V22" t="s">
        <v>200</v>
      </c>
    </row>
    <row r="23" spans="1:22" x14ac:dyDescent="0.2">
      <c r="A23" t="s">
        <v>75</v>
      </c>
      <c r="B23" t="s">
        <v>201</v>
      </c>
      <c r="C23" t="s">
        <v>696</v>
      </c>
      <c r="D23" t="s">
        <v>192</v>
      </c>
      <c r="E23" t="s">
        <v>661</v>
      </c>
      <c r="F23" t="s">
        <v>25</v>
      </c>
      <c r="G23" t="s">
        <v>30</v>
      </c>
      <c r="H23" t="s">
        <v>193</v>
      </c>
      <c r="I23" t="s">
        <v>41</v>
      </c>
      <c r="J23" t="s">
        <v>119</v>
      </c>
      <c r="K23" t="s">
        <v>41</v>
      </c>
      <c r="L23" s="3">
        <v>46042</v>
      </c>
      <c r="M23" t="s">
        <v>131</v>
      </c>
      <c r="N23" t="s">
        <v>198</v>
      </c>
      <c r="O23" t="s">
        <v>94</v>
      </c>
      <c r="P23" t="s">
        <v>119</v>
      </c>
      <c r="Q23" t="s">
        <v>94</v>
      </c>
      <c r="R23" t="s">
        <v>119</v>
      </c>
      <c r="S23" t="s">
        <v>45</v>
      </c>
      <c r="T23" t="s">
        <v>49</v>
      </c>
      <c r="U23" t="s">
        <v>132</v>
      </c>
      <c r="V23" t="s">
        <v>202</v>
      </c>
    </row>
    <row r="24" spans="1:22" x14ac:dyDescent="0.2">
      <c r="A24" t="s">
        <v>76</v>
      </c>
      <c r="B24" t="s">
        <v>203</v>
      </c>
      <c r="C24" t="s">
        <v>697</v>
      </c>
      <c r="D24" t="s">
        <v>192</v>
      </c>
      <c r="E24" t="s">
        <v>659</v>
      </c>
      <c r="F24" t="s">
        <v>25</v>
      </c>
      <c r="G24" t="s">
        <v>32</v>
      </c>
      <c r="H24" t="s">
        <v>206</v>
      </c>
      <c r="I24" t="s">
        <v>41</v>
      </c>
      <c r="J24" t="s">
        <v>119</v>
      </c>
      <c r="K24" t="s">
        <v>41</v>
      </c>
      <c r="L24" s="3">
        <v>45935</v>
      </c>
      <c r="M24" t="s">
        <v>37</v>
      </c>
      <c r="O24" t="s">
        <v>119</v>
      </c>
      <c r="P24" t="s">
        <v>119</v>
      </c>
      <c r="Q24" t="s">
        <v>119</v>
      </c>
      <c r="R24" t="s">
        <v>119</v>
      </c>
      <c r="S24" t="s">
        <v>44</v>
      </c>
      <c r="T24" t="s">
        <v>47</v>
      </c>
      <c r="U24" t="s">
        <v>207</v>
      </c>
      <c r="V24" t="s">
        <v>208</v>
      </c>
    </row>
    <row r="25" spans="1:22" x14ac:dyDescent="0.2">
      <c r="A25" t="s">
        <v>77</v>
      </c>
      <c r="B25" t="s">
        <v>209</v>
      </c>
      <c r="C25" t="s">
        <v>698</v>
      </c>
      <c r="D25" t="s">
        <v>192</v>
      </c>
      <c r="E25" t="s">
        <v>672</v>
      </c>
      <c r="F25" t="s">
        <v>25</v>
      </c>
      <c r="G25" t="s">
        <v>31</v>
      </c>
      <c r="H25" t="s">
        <v>211</v>
      </c>
      <c r="I25" t="s">
        <v>41</v>
      </c>
      <c r="J25" t="s">
        <v>119</v>
      </c>
      <c r="K25" t="s">
        <v>41</v>
      </c>
      <c r="L25" s="3">
        <v>45975</v>
      </c>
      <c r="M25" t="s">
        <v>36</v>
      </c>
      <c r="N25" t="s">
        <v>212</v>
      </c>
      <c r="O25" t="s">
        <v>94</v>
      </c>
      <c r="P25" t="s">
        <v>119</v>
      </c>
      <c r="Q25" t="s">
        <v>94</v>
      </c>
      <c r="R25" t="s">
        <v>119</v>
      </c>
      <c r="S25" t="s">
        <v>45</v>
      </c>
      <c r="T25" t="s">
        <v>49</v>
      </c>
      <c r="U25" t="s">
        <v>175</v>
      </c>
      <c r="V25" t="s">
        <v>213</v>
      </c>
    </row>
    <row r="26" spans="1:22" x14ac:dyDescent="0.2">
      <c r="A26" t="s">
        <v>78</v>
      </c>
      <c r="B26" t="s">
        <v>214</v>
      </c>
      <c r="C26" t="s">
        <v>699</v>
      </c>
      <c r="D26" t="s">
        <v>192</v>
      </c>
      <c r="E26" t="s">
        <v>672</v>
      </c>
      <c r="F26" t="s">
        <v>25</v>
      </c>
      <c r="G26" t="s">
        <v>31</v>
      </c>
      <c r="H26" t="s">
        <v>211</v>
      </c>
      <c r="I26" t="s">
        <v>41</v>
      </c>
      <c r="J26" t="s">
        <v>119</v>
      </c>
      <c r="K26" t="s">
        <v>41</v>
      </c>
      <c r="L26" s="3">
        <v>45992</v>
      </c>
      <c r="M26" t="s">
        <v>37</v>
      </c>
      <c r="N26" t="s">
        <v>212</v>
      </c>
      <c r="O26" t="s">
        <v>94</v>
      </c>
      <c r="P26" t="s">
        <v>119</v>
      </c>
      <c r="Q26" t="s">
        <v>119</v>
      </c>
      <c r="R26" t="s">
        <v>119</v>
      </c>
      <c r="S26" t="s">
        <v>44</v>
      </c>
      <c r="T26" t="s">
        <v>47</v>
      </c>
      <c r="U26" t="s">
        <v>215</v>
      </c>
      <c r="V26" t="s">
        <v>216</v>
      </c>
    </row>
    <row r="27" spans="1:22" x14ac:dyDescent="0.2">
      <c r="A27" t="s">
        <v>79</v>
      </c>
      <c r="B27" t="s">
        <v>217</v>
      </c>
      <c r="C27" t="s">
        <v>700</v>
      </c>
      <c r="D27" t="s">
        <v>192</v>
      </c>
      <c r="E27" t="s">
        <v>114</v>
      </c>
      <c r="F27" t="s">
        <v>25</v>
      </c>
      <c r="G27" t="s">
        <v>30</v>
      </c>
      <c r="H27" t="s">
        <v>219</v>
      </c>
      <c r="I27" t="s">
        <v>41</v>
      </c>
      <c r="J27" t="s">
        <v>119</v>
      </c>
      <c r="K27" t="s">
        <v>41</v>
      </c>
      <c r="L27" s="3">
        <v>46050</v>
      </c>
      <c r="M27" t="s">
        <v>36</v>
      </c>
      <c r="N27" t="s">
        <v>220</v>
      </c>
      <c r="O27" t="s">
        <v>94</v>
      </c>
      <c r="P27" t="s">
        <v>119</v>
      </c>
      <c r="Q27" t="s">
        <v>94</v>
      </c>
      <c r="R27" t="s">
        <v>119</v>
      </c>
      <c r="S27" t="s">
        <v>46</v>
      </c>
      <c r="T27" t="s">
        <v>49</v>
      </c>
      <c r="U27" t="s">
        <v>221</v>
      </c>
      <c r="V27" t="s">
        <v>222</v>
      </c>
    </row>
    <row r="28" spans="1:22" x14ac:dyDescent="0.2">
      <c r="A28" t="s">
        <v>80</v>
      </c>
      <c r="B28" t="s">
        <v>223</v>
      </c>
      <c r="C28" t="s">
        <v>701</v>
      </c>
      <c r="D28" t="s">
        <v>192</v>
      </c>
      <c r="E28" t="s">
        <v>114</v>
      </c>
      <c r="F28" t="s">
        <v>25</v>
      </c>
      <c r="G28" t="s">
        <v>30</v>
      </c>
      <c r="H28" t="s">
        <v>219</v>
      </c>
      <c r="I28" t="s">
        <v>41</v>
      </c>
      <c r="J28" t="s">
        <v>119</v>
      </c>
      <c r="K28" t="s">
        <v>41</v>
      </c>
      <c r="L28" s="3">
        <v>46058</v>
      </c>
      <c r="M28" t="s">
        <v>37</v>
      </c>
      <c r="N28" t="s">
        <v>220</v>
      </c>
      <c r="O28" t="s">
        <v>94</v>
      </c>
      <c r="P28" t="s">
        <v>119</v>
      </c>
      <c r="Q28" t="s">
        <v>119</v>
      </c>
      <c r="R28" t="s">
        <v>119</v>
      </c>
      <c r="S28" t="s">
        <v>44</v>
      </c>
      <c r="T28" t="s">
        <v>47</v>
      </c>
      <c r="U28" t="s">
        <v>225</v>
      </c>
      <c r="V28" t="s">
        <v>226</v>
      </c>
    </row>
    <row r="29" spans="1:22" x14ac:dyDescent="0.2">
      <c r="A29" t="s">
        <v>81</v>
      </c>
      <c r="B29" t="s">
        <v>227</v>
      </c>
      <c r="C29" t="s">
        <v>702</v>
      </c>
      <c r="D29" t="s">
        <v>192</v>
      </c>
      <c r="E29" t="s">
        <v>661</v>
      </c>
      <c r="F29" t="s">
        <v>25</v>
      </c>
      <c r="G29" t="s">
        <v>32</v>
      </c>
      <c r="H29" t="s">
        <v>229</v>
      </c>
      <c r="I29" t="s">
        <v>41</v>
      </c>
      <c r="J29" t="s">
        <v>119</v>
      </c>
      <c r="K29" t="s">
        <v>41</v>
      </c>
      <c r="L29" s="3">
        <v>45918</v>
      </c>
      <c r="M29" t="s">
        <v>37</v>
      </c>
      <c r="O29" t="s">
        <v>119</v>
      </c>
      <c r="P29" t="s">
        <v>119</v>
      </c>
      <c r="Q29" t="s">
        <v>119</v>
      </c>
      <c r="R29" t="s">
        <v>119</v>
      </c>
      <c r="S29" t="s">
        <v>44</v>
      </c>
      <c r="T29" t="s">
        <v>47</v>
      </c>
      <c r="U29" t="s">
        <v>230</v>
      </c>
      <c r="V29" t="s">
        <v>231</v>
      </c>
    </row>
    <row r="30" spans="1:22" x14ac:dyDescent="0.2">
      <c r="A30" t="s">
        <v>82</v>
      </c>
      <c r="B30" t="s">
        <v>232</v>
      </c>
      <c r="C30" t="s">
        <v>703</v>
      </c>
      <c r="D30" t="s">
        <v>192</v>
      </c>
      <c r="F30" t="s">
        <v>25</v>
      </c>
      <c r="G30" t="s">
        <v>32</v>
      </c>
      <c r="H30" t="s">
        <v>234</v>
      </c>
      <c r="I30" t="s">
        <v>41</v>
      </c>
      <c r="J30" t="s">
        <v>119</v>
      </c>
      <c r="K30" t="s">
        <v>42</v>
      </c>
      <c r="L30" s="3">
        <v>45899</v>
      </c>
      <c r="M30" t="s">
        <v>36</v>
      </c>
      <c r="O30" t="s">
        <v>119</v>
      </c>
      <c r="P30" t="s">
        <v>94</v>
      </c>
      <c r="Q30" t="s">
        <v>119</v>
      </c>
      <c r="R30" t="s">
        <v>119</v>
      </c>
      <c r="S30" t="s">
        <v>46</v>
      </c>
      <c r="T30" t="s">
        <v>48</v>
      </c>
      <c r="U30" t="s">
        <v>235</v>
      </c>
      <c r="V30" t="s">
        <v>236</v>
      </c>
    </row>
    <row r="31" spans="1:22" x14ac:dyDescent="0.2">
      <c r="A31" t="s">
        <v>83</v>
      </c>
      <c r="B31" t="s">
        <v>96</v>
      </c>
      <c r="C31" t="s">
        <v>704</v>
      </c>
      <c r="D31" t="s">
        <v>238</v>
      </c>
      <c r="E31" t="s">
        <v>112</v>
      </c>
      <c r="F31" t="s">
        <v>39</v>
      </c>
      <c r="G31" t="s">
        <v>30</v>
      </c>
      <c r="H31" t="s">
        <v>239</v>
      </c>
      <c r="I31" t="s">
        <v>41</v>
      </c>
      <c r="J31" t="s">
        <v>119</v>
      </c>
      <c r="K31" t="s">
        <v>41</v>
      </c>
      <c r="L31" s="3">
        <v>46052</v>
      </c>
      <c r="M31" t="s">
        <v>36</v>
      </c>
      <c r="O31" t="s">
        <v>119</v>
      </c>
      <c r="P31" t="s">
        <v>119</v>
      </c>
      <c r="Q31" t="s">
        <v>119</v>
      </c>
      <c r="R31" t="s">
        <v>94</v>
      </c>
      <c r="S31" t="s">
        <v>45</v>
      </c>
      <c r="T31" t="s">
        <v>49</v>
      </c>
      <c r="U31" t="s">
        <v>240</v>
      </c>
      <c r="V31" t="s">
        <v>241</v>
      </c>
    </row>
    <row r="32" spans="1:22" x14ac:dyDescent="0.2">
      <c r="A32" t="s">
        <v>84</v>
      </c>
      <c r="B32" t="s">
        <v>97</v>
      </c>
      <c r="C32" t="s">
        <v>705</v>
      </c>
      <c r="D32" t="s">
        <v>238</v>
      </c>
      <c r="E32" t="s">
        <v>659</v>
      </c>
      <c r="F32" t="s">
        <v>39</v>
      </c>
      <c r="G32" t="s">
        <v>30</v>
      </c>
      <c r="H32" t="s">
        <v>239</v>
      </c>
      <c r="I32" t="s">
        <v>41</v>
      </c>
      <c r="J32" t="s">
        <v>119</v>
      </c>
      <c r="K32" t="s">
        <v>41</v>
      </c>
      <c r="L32" s="3">
        <v>46063</v>
      </c>
      <c r="M32" t="s">
        <v>36</v>
      </c>
      <c r="N32" t="s">
        <v>243</v>
      </c>
      <c r="O32" t="s">
        <v>94</v>
      </c>
      <c r="P32" t="s">
        <v>119</v>
      </c>
      <c r="Q32" t="s">
        <v>119</v>
      </c>
      <c r="R32" t="s">
        <v>119</v>
      </c>
      <c r="S32" t="s">
        <v>46</v>
      </c>
      <c r="T32" t="s">
        <v>49</v>
      </c>
      <c r="U32" t="s">
        <v>244</v>
      </c>
      <c r="V32" t="s">
        <v>245</v>
      </c>
    </row>
    <row r="33" spans="1:22" x14ac:dyDescent="0.2">
      <c r="A33" t="s">
        <v>85</v>
      </c>
      <c r="B33" t="s">
        <v>98</v>
      </c>
      <c r="C33" t="s">
        <v>706</v>
      </c>
      <c r="D33" t="s">
        <v>238</v>
      </c>
      <c r="E33" t="s">
        <v>659</v>
      </c>
      <c r="F33" t="s">
        <v>39</v>
      </c>
      <c r="G33" t="s">
        <v>30</v>
      </c>
      <c r="H33" t="s">
        <v>239</v>
      </c>
      <c r="I33" t="s">
        <v>41</v>
      </c>
      <c r="J33" t="s">
        <v>119</v>
      </c>
      <c r="K33" t="s">
        <v>41</v>
      </c>
      <c r="L33" s="3">
        <v>46069</v>
      </c>
      <c r="M33" t="s">
        <v>37</v>
      </c>
      <c r="N33" t="s">
        <v>243</v>
      </c>
      <c r="O33" t="s">
        <v>94</v>
      </c>
      <c r="P33" t="s">
        <v>119</v>
      </c>
      <c r="Q33" t="s">
        <v>119</v>
      </c>
      <c r="R33" t="s">
        <v>119</v>
      </c>
      <c r="S33" t="s">
        <v>44</v>
      </c>
      <c r="T33" t="s">
        <v>47</v>
      </c>
      <c r="U33" t="s">
        <v>246</v>
      </c>
      <c r="V33" t="s">
        <v>247</v>
      </c>
    </row>
    <row r="34" spans="1:22" x14ac:dyDescent="0.2">
      <c r="A34" t="s">
        <v>86</v>
      </c>
      <c r="B34" t="s">
        <v>248</v>
      </c>
      <c r="C34" t="s">
        <v>707</v>
      </c>
      <c r="D34" t="s">
        <v>238</v>
      </c>
      <c r="E34" t="s">
        <v>672</v>
      </c>
      <c r="F34" t="s">
        <v>39</v>
      </c>
      <c r="G34" t="s">
        <v>31</v>
      </c>
      <c r="H34" t="s">
        <v>250</v>
      </c>
      <c r="I34" t="s">
        <v>41</v>
      </c>
      <c r="J34" t="s">
        <v>119</v>
      </c>
      <c r="K34" t="s">
        <v>41</v>
      </c>
      <c r="L34" s="3">
        <v>46042</v>
      </c>
      <c r="M34" t="s">
        <v>37</v>
      </c>
      <c r="O34" t="s">
        <v>119</v>
      </c>
      <c r="P34" t="s">
        <v>119</v>
      </c>
      <c r="Q34" t="s">
        <v>119</v>
      </c>
      <c r="R34" t="s">
        <v>119</v>
      </c>
      <c r="S34" t="s">
        <v>44</v>
      </c>
      <c r="T34" t="s">
        <v>47</v>
      </c>
      <c r="U34" t="s">
        <v>251</v>
      </c>
      <c r="V34" t="s">
        <v>252</v>
      </c>
    </row>
    <row r="35" spans="1:22" x14ac:dyDescent="0.2">
      <c r="A35" t="s">
        <v>87</v>
      </c>
      <c r="B35" t="s">
        <v>253</v>
      </c>
      <c r="C35" t="s">
        <v>708</v>
      </c>
      <c r="D35" t="s">
        <v>238</v>
      </c>
      <c r="E35" t="s">
        <v>672</v>
      </c>
      <c r="F35" t="s">
        <v>39</v>
      </c>
      <c r="G35" t="s">
        <v>31</v>
      </c>
      <c r="H35" t="s">
        <v>250</v>
      </c>
      <c r="I35" t="s">
        <v>41</v>
      </c>
      <c r="J35" t="s">
        <v>119</v>
      </c>
      <c r="K35" t="s">
        <v>41</v>
      </c>
      <c r="L35" s="3">
        <v>46056</v>
      </c>
      <c r="M35" t="s">
        <v>37</v>
      </c>
      <c r="O35" t="s">
        <v>119</v>
      </c>
      <c r="P35" t="s">
        <v>119</v>
      </c>
      <c r="Q35" t="s">
        <v>119</v>
      </c>
      <c r="R35" t="s">
        <v>119</v>
      </c>
      <c r="S35" t="s">
        <v>44</v>
      </c>
      <c r="T35" t="s">
        <v>47</v>
      </c>
      <c r="U35" t="s">
        <v>251</v>
      </c>
      <c r="V35" t="s">
        <v>255</v>
      </c>
    </row>
    <row r="36" spans="1:22" x14ac:dyDescent="0.2">
      <c r="A36" t="s">
        <v>88</v>
      </c>
      <c r="B36" t="s">
        <v>99</v>
      </c>
      <c r="C36" t="s">
        <v>709</v>
      </c>
      <c r="D36" t="s">
        <v>238</v>
      </c>
      <c r="E36" t="s">
        <v>672</v>
      </c>
      <c r="F36" t="s">
        <v>39</v>
      </c>
      <c r="G36" t="s">
        <v>33</v>
      </c>
      <c r="H36" t="s">
        <v>257</v>
      </c>
      <c r="I36" t="s">
        <v>41</v>
      </c>
      <c r="J36" t="s">
        <v>119</v>
      </c>
      <c r="K36" t="s">
        <v>41</v>
      </c>
      <c r="L36" s="3">
        <v>46064</v>
      </c>
      <c r="M36" t="s">
        <v>36</v>
      </c>
      <c r="N36" t="s">
        <v>258</v>
      </c>
      <c r="O36" t="s">
        <v>94</v>
      </c>
      <c r="P36" t="s">
        <v>119</v>
      </c>
      <c r="Q36" t="s">
        <v>119</v>
      </c>
      <c r="R36" t="s">
        <v>119</v>
      </c>
      <c r="S36" t="s">
        <v>44</v>
      </c>
      <c r="T36" t="s">
        <v>47</v>
      </c>
      <c r="U36" t="s">
        <v>259</v>
      </c>
      <c r="V36" t="s">
        <v>260</v>
      </c>
    </row>
    <row r="37" spans="1:22" x14ac:dyDescent="0.2">
      <c r="A37" t="s">
        <v>89</v>
      </c>
      <c r="B37" t="s">
        <v>100</v>
      </c>
      <c r="C37" t="s">
        <v>710</v>
      </c>
      <c r="D37" t="s">
        <v>238</v>
      </c>
      <c r="F37" t="s">
        <v>39</v>
      </c>
      <c r="G37" t="s">
        <v>33</v>
      </c>
      <c r="H37" t="s">
        <v>257</v>
      </c>
      <c r="I37" t="s">
        <v>41</v>
      </c>
      <c r="J37" t="s">
        <v>119</v>
      </c>
      <c r="K37" t="s">
        <v>41</v>
      </c>
      <c r="L37" s="3">
        <v>46064</v>
      </c>
      <c r="M37" t="s">
        <v>131</v>
      </c>
      <c r="N37" t="s">
        <v>258</v>
      </c>
      <c r="O37" t="s">
        <v>94</v>
      </c>
      <c r="P37" t="s">
        <v>119</v>
      </c>
      <c r="Q37" t="s">
        <v>94</v>
      </c>
      <c r="R37" t="s">
        <v>119</v>
      </c>
      <c r="S37" t="s">
        <v>45</v>
      </c>
      <c r="T37" t="s">
        <v>49</v>
      </c>
      <c r="U37" t="s">
        <v>261</v>
      </c>
      <c r="V37" t="s">
        <v>262</v>
      </c>
    </row>
    <row r="38" spans="1:22" x14ac:dyDescent="0.2">
      <c r="A38" t="s">
        <v>90</v>
      </c>
      <c r="B38" t="s">
        <v>263</v>
      </c>
      <c r="C38" t="s">
        <v>711</v>
      </c>
      <c r="D38" t="s">
        <v>238</v>
      </c>
      <c r="F38" t="s">
        <v>39</v>
      </c>
      <c r="G38" t="s">
        <v>31</v>
      </c>
      <c r="H38" t="s">
        <v>265</v>
      </c>
      <c r="I38" t="s">
        <v>41</v>
      </c>
      <c r="J38" t="s">
        <v>119</v>
      </c>
      <c r="K38" t="s">
        <v>41</v>
      </c>
      <c r="L38" s="3">
        <v>45818</v>
      </c>
      <c r="M38" t="s">
        <v>36</v>
      </c>
      <c r="O38" t="s">
        <v>119</v>
      </c>
      <c r="P38" t="s">
        <v>94</v>
      </c>
      <c r="Q38" t="s">
        <v>94</v>
      </c>
      <c r="R38" t="s">
        <v>94</v>
      </c>
      <c r="S38" t="s">
        <v>46</v>
      </c>
      <c r="T38" t="s">
        <v>48</v>
      </c>
      <c r="U38" t="s">
        <v>266</v>
      </c>
      <c r="V38" t="s">
        <v>276</v>
      </c>
    </row>
    <row r="39" spans="1:22" x14ac:dyDescent="0.2">
      <c r="A39" t="s">
        <v>91</v>
      </c>
      <c r="B39" t="s">
        <v>267</v>
      </c>
      <c r="C39" t="s">
        <v>712</v>
      </c>
      <c r="D39" t="s">
        <v>238</v>
      </c>
      <c r="E39" t="s">
        <v>659</v>
      </c>
      <c r="F39" t="s">
        <v>39</v>
      </c>
      <c r="G39" t="s">
        <v>30</v>
      </c>
      <c r="H39" t="s">
        <v>269</v>
      </c>
      <c r="I39" t="s">
        <v>41</v>
      </c>
      <c r="J39" t="s">
        <v>119</v>
      </c>
      <c r="K39" t="s">
        <v>41</v>
      </c>
      <c r="L39" s="3">
        <v>45628</v>
      </c>
      <c r="M39" t="s">
        <v>131</v>
      </c>
      <c r="O39" t="s">
        <v>119</v>
      </c>
      <c r="P39" t="s">
        <v>94</v>
      </c>
      <c r="Q39" t="s">
        <v>94</v>
      </c>
      <c r="R39" t="s">
        <v>119</v>
      </c>
      <c r="S39" t="s">
        <v>46</v>
      </c>
      <c r="T39" t="s">
        <v>48</v>
      </c>
      <c r="U39" t="s">
        <v>270</v>
      </c>
      <c r="V39" t="s">
        <v>271</v>
      </c>
    </row>
    <row r="40" spans="1:22" x14ac:dyDescent="0.2">
      <c r="A40" t="s">
        <v>92</v>
      </c>
      <c r="B40" t="s">
        <v>272</v>
      </c>
      <c r="C40" t="s">
        <v>713</v>
      </c>
      <c r="D40" t="s">
        <v>238</v>
      </c>
      <c r="F40" t="s">
        <v>39</v>
      </c>
      <c r="G40" t="s">
        <v>31</v>
      </c>
      <c r="H40" t="s">
        <v>273</v>
      </c>
      <c r="I40" t="s">
        <v>41</v>
      </c>
      <c r="J40" t="s">
        <v>119</v>
      </c>
      <c r="K40" t="s">
        <v>41</v>
      </c>
      <c r="L40" s="3">
        <v>46070</v>
      </c>
      <c r="M40" t="s">
        <v>36</v>
      </c>
      <c r="O40" t="s">
        <v>119</v>
      </c>
      <c r="P40" t="s">
        <v>94</v>
      </c>
      <c r="Q40" t="s">
        <v>119</v>
      </c>
      <c r="R40" t="s">
        <v>94</v>
      </c>
      <c r="S40" t="s">
        <v>45</v>
      </c>
      <c r="T40" t="s">
        <v>48</v>
      </c>
      <c r="U40" t="s">
        <v>274</v>
      </c>
      <c r="V40" t="s">
        <v>275</v>
      </c>
    </row>
    <row r="41" spans="1:22" x14ac:dyDescent="0.2">
      <c r="A41" t="s">
        <v>545</v>
      </c>
      <c r="B41" t="s">
        <v>714</v>
      </c>
      <c r="C41" t="s">
        <v>715</v>
      </c>
      <c r="D41" t="s">
        <v>656</v>
      </c>
      <c r="E41" t="s">
        <v>662</v>
      </c>
      <c r="F41" t="s">
        <v>27</v>
      </c>
      <c r="G41" t="s">
        <v>34</v>
      </c>
      <c r="H41" t="s">
        <v>147</v>
      </c>
      <c r="I41" t="s">
        <v>41</v>
      </c>
      <c r="J41" t="s">
        <v>119</v>
      </c>
      <c r="K41" t="s">
        <v>41</v>
      </c>
      <c r="L41" s="3">
        <v>45757</v>
      </c>
      <c r="M41" t="s">
        <v>37</v>
      </c>
      <c r="P41" t="s">
        <v>119</v>
      </c>
      <c r="Q41" t="s">
        <v>119</v>
      </c>
      <c r="R41" t="s">
        <v>119</v>
      </c>
      <c r="S41" t="s">
        <v>47</v>
      </c>
      <c r="T41" t="s">
        <v>47</v>
      </c>
    </row>
    <row r="42" spans="1:22" x14ac:dyDescent="0.2">
      <c r="A42" t="s">
        <v>546</v>
      </c>
      <c r="B42" t="s">
        <v>716</v>
      </c>
      <c r="C42" t="s">
        <v>717</v>
      </c>
      <c r="D42" t="s">
        <v>656</v>
      </c>
      <c r="E42" t="s">
        <v>662</v>
      </c>
      <c r="F42" t="s">
        <v>27</v>
      </c>
      <c r="G42" t="s">
        <v>159</v>
      </c>
      <c r="H42" t="s">
        <v>160</v>
      </c>
      <c r="I42" t="s">
        <v>41</v>
      </c>
      <c r="J42" t="s">
        <v>119</v>
      </c>
      <c r="K42" t="s">
        <v>41</v>
      </c>
      <c r="L42" s="3">
        <v>45947</v>
      </c>
      <c r="M42" t="s">
        <v>36</v>
      </c>
      <c r="P42" t="s">
        <v>119</v>
      </c>
      <c r="Q42" t="s">
        <v>119</v>
      </c>
      <c r="R42" t="s">
        <v>119</v>
      </c>
      <c r="S42" t="s">
        <v>47</v>
      </c>
      <c r="T42" t="s">
        <v>47</v>
      </c>
    </row>
    <row r="43" spans="1:22" x14ac:dyDescent="0.2">
      <c r="A43" t="s">
        <v>547</v>
      </c>
      <c r="B43" t="s">
        <v>718</v>
      </c>
      <c r="C43" t="s">
        <v>719</v>
      </c>
      <c r="D43" t="s">
        <v>656</v>
      </c>
      <c r="E43" t="s">
        <v>662</v>
      </c>
      <c r="F43" t="s">
        <v>27</v>
      </c>
      <c r="G43" t="s">
        <v>159</v>
      </c>
      <c r="H43" t="s">
        <v>160</v>
      </c>
      <c r="I43" t="s">
        <v>41</v>
      </c>
      <c r="J43" t="s">
        <v>119</v>
      </c>
      <c r="K43" t="s">
        <v>41</v>
      </c>
      <c r="L43" s="3">
        <v>45944</v>
      </c>
      <c r="M43" t="s">
        <v>37</v>
      </c>
      <c r="P43" t="s">
        <v>119</v>
      </c>
      <c r="Q43" t="s">
        <v>119</v>
      </c>
      <c r="R43" t="s">
        <v>119</v>
      </c>
      <c r="S43" t="s">
        <v>47</v>
      </c>
      <c r="T43" t="s">
        <v>47</v>
      </c>
    </row>
    <row r="44" spans="1:22" x14ac:dyDescent="0.2">
      <c r="A44" t="s">
        <v>548</v>
      </c>
      <c r="B44" t="s">
        <v>718</v>
      </c>
      <c r="C44" t="s">
        <v>720</v>
      </c>
      <c r="D44" t="s">
        <v>656</v>
      </c>
      <c r="E44" t="s">
        <v>662</v>
      </c>
      <c r="F44" t="s">
        <v>27</v>
      </c>
      <c r="G44" t="s">
        <v>159</v>
      </c>
      <c r="H44" t="s">
        <v>160</v>
      </c>
      <c r="I44" t="s">
        <v>41</v>
      </c>
      <c r="J44" t="s">
        <v>119</v>
      </c>
      <c r="K44" t="s">
        <v>41</v>
      </c>
      <c r="L44" s="3">
        <v>45979</v>
      </c>
      <c r="M44" t="s">
        <v>37</v>
      </c>
      <c r="P44" t="s">
        <v>119</v>
      </c>
      <c r="Q44" t="s">
        <v>119</v>
      </c>
      <c r="R44" t="s">
        <v>119</v>
      </c>
      <c r="S44" t="s">
        <v>47</v>
      </c>
      <c r="T44" t="s">
        <v>47</v>
      </c>
    </row>
    <row r="45" spans="1:22" x14ac:dyDescent="0.2">
      <c r="A45" t="s">
        <v>549</v>
      </c>
      <c r="B45" t="s">
        <v>721</v>
      </c>
      <c r="C45" t="s">
        <v>722</v>
      </c>
      <c r="D45" t="s">
        <v>656</v>
      </c>
      <c r="E45" t="s">
        <v>662</v>
      </c>
      <c r="F45" t="s">
        <v>27</v>
      </c>
      <c r="G45" t="s">
        <v>30</v>
      </c>
      <c r="H45" t="s">
        <v>173</v>
      </c>
      <c r="I45" t="s">
        <v>41</v>
      </c>
      <c r="J45" t="s">
        <v>119</v>
      </c>
      <c r="K45" t="s">
        <v>41</v>
      </c>
      <c r="L45" s="3">
        <v>45928</v>
      </c>
      <c r="M45" t="s">
        <v>36</v>
      </c>
      <c r="P45" t="s">
        <v>119</v>
      </c>
      <c r="Q45" t="s">
        <v>119</v>
      </c>
      <c r="R45" t="s">
        <v>119</v>
      </c>
      <c r="S45" t="s">
        <v>47</v>
      </c>
      <c r="T45" t="s">
        <v>47</v>
      </c>
    </row>
    <row r="46" spans="1:22" x14ac:dyDescent="0.2">
      <c r="A46" t="s">
        <v>550</v>
      </c>
      <c r="B46" t="s">
        <v>723</v>
      </c>
      <c r="C46" t="s">
        <v>724</v>
      </c>
      <c r="D46" t="s">
        <v>656</v>
      </c>
      <c r="E46" t="s">
        <v>662</v>
      </c>
      <c r="F46" t="s">
        <v>27</v>
      </c>
      <c r="G46" t="s">
        <v>30</v>
      </c>
      <c r="H46" t="s">
        <v>173</v>
      </c>
      <c r="I46" t="s">
        <v>41</v>
      </c>
      <c r="J46" t="s">
        <v>119</v>
      </c>
      <c r="K46" t="s">
        <v>41</v>
      </c>
      <c r="L46" s="3">
        <v>45700</v>
      </c>
      <c r="M46" t="s">
        <v>37</v>
      </c>
      <c r="P46" t="s">
        <v>119</v>
      </c>
      <c r="Q46" t="s">
        <v>119</v>
      </c>
      <c r="R46" t="s">
        <v>119</v>
      </c>
      <c r="S46" t="s">
        <v>47</v>
      </c>
      <c r="T46" t="s">
        <v>47</v>
      </c>
    </row>
    <row r="47" spans="1:22" x14ac:dyDescent="0.2">
      <c r="A47" t="s">
        <v>551</v>
      </c>
      <c r="B47" t="s">
        <v>725</v>
      </c>
      <c r="C47" t="s">
        <v>726</v>
      </c>
      <c r="D47" t="s">
        <v>656</v>
      </c>
      <c r="E47" t="s">
        <v>662</v>
      </c>
      <c r="F47" t="s">
        <v>27</v>
      </c>
      <c r="G47" t="s">
        <v>30</v>
      </c>
      <c r="H47" t="s">
        <v>182</v>
      </c>
      <c r="I47" t="s">
        <v>41</v>
      </c>
      <c r="J47" t="s">
        <v>119</v>
      </c>
      <c r="K47" t="s">
        <v>41</v>
      </c>
      <c r="L47" s="3">
        <v>45911</v>
      </c>
      <c r="M47" t="s">
        <v>36</v>
      </c>
      <c r="P47" t="s">
        <v>119</v>
      </c>
      <c r="Q47" t="s">
        <v>119</v>
      </c>
      <c r="R47" t="s">
        <v>119</v>
      </c>
      <c r="S47" t="s">
        <v>47</v>
      </c>
      <c r="T47" t="s">
        <v>47</v>
      </c>
    </row>
    <row r="48" spans="1:22" x14ac:dyDescent="0.2">
      <c r="A48" t="s">
        <v>552</v>
      </c>
      <c r="B48" t="s">
        <v>727</v>
      </c>
      <c r="C48" t="s">
        <v>728</v>
      </c>
      <c r="D48" t="s">
        <v>656</v>
      </c>
      <c r="E48" t="s">
        <v>662</v>
      </c>
      <c r="F48" t="s">
        <v>27</v>
      </c>
      <c r="G48" t="s">
        <v>31</v>
      </c>
      <c r="H48" t="s">
        <v>187</v>
      </c>
      <c r="I48" t="s">
        <v>41</v>
      </c>
      <c r="J48" t="s">
        <v>119</v>
      </c>
      <c r="K48" t="s">
        <v>41</v>
      </c>
      <c r="L48" s="3">
        <v>45819</v>
      </c>
      <c r="M48" t="s">
        <v>36</v>
      </c>
      <c r="P48" t="s">
        <v>119</v>
      </c>
      <c r="Q48" t="s">
        <v>119</v>
      </c>
      <c r="R48" t="s">
        <v>119</v>
      </c>
      <c r="S48" t="s">
        <v>47</v>
      </c>
      <c r="T48" t="s">
        <v>47</v>
      </c>
    </row>
    <row r="49" spans="1:20" x14ac:dyDescent="0.2">
      <c r="A49" t="s">
        <v>553</v>
      </c>
      <c r="B49" t="s">
        <v>729</v>
      </c>
      <c r="C49" t="s">
        <v>730</v>
      </c>
      <c r="D49" t="s">
        <v>657</v>
      </c>
      <c r="E49" t="s">
        <v>663</v>
      </c>
      <c r="F49" t="s">
        <v>655</v>
      </c>
      <c r="G49" t="s">
        <v>30</v>
      </c>
      <c r="H49" t="s">
        <v>273</v>
      </c>
      <c r="I49" t="s">
        <v>41</v>
      </c>
      <c r="J49" t="s">
        <v>119</v>
      </c>
      <c r="K49" t="s">
        <v>41</v>
      </c>
      <c r="L49" s="3">
        <v>45707</v>
      </c>
      <c r="M49" t="s">
        <v>36</v>
      </c>
      <c r="P49" t="s">
        <v>119</v>
      </c>
      <c r="Q49" t="s">
        <v>119</v>
      </c>
      <c r="R49" t="s">
        <v>94</v>
      </c>
      <c r="S49" t="s">
        <v>47</v>
      </c>
      <c r="T49" t="s">
        <v>47</v>
      </c>
    </row>
    <row r="50" spans="1:20" x14ac:dyDescent="0.2">
      <c r="A50" t="s">
        <v>554</v>
      </c>
      <c r="B50" t="s">
        <v>731</v>
      </c>
      <c r="C50" t="s">
        <v>732</v>
      </c>
      <c r="D50" t="s">
        <v>657</v>
      </c>
      <c r="E50" t="s">
        <v>663</v>
      </c>
      <c r="F50" t="s">
        <v>655</v>
      </c>
      <c r="G50" t="s">
        <v>30</v>
      </c>
      <c r="H50" t="s">
        <v>250</v>
      </c>
      <c r="I50" t="s">
        <v>41</v>
      </c>
      <c r="J50" t="s">
        <v>119</v>
      </c>
      <c r="K50" t="s">
        <v>41</v>
      </c>
      <c r="L50" s="3">
        <v>45700</v>
      </c>
      <c r="M50" t="s">
        <v>37</v>
      </c>
      <c r="P50" t="s">
        <v>119</v>
      </c>
      <c r="Q50" t="s">
        <v>119</v>
      </c>
      <c r="R50" t="s">
        <v>119</v>
      </c>
      <c r="S50" t="s">
        <v>47</v>
      </c>
      <c r="T50" t="s">
        <v>47</v>
      </c>
    </row>
    <row r="51" spans="1:20" x14ac:dyDescent="0.2">
      <c r="A51" t="s">
        <v>555</v>
      </c>
      <c r="B51" t="s">
        <v>733</v>
      </c>
      <c r="C51" t="s">
        <v>734</v>
      </c>
      <c r="D51" t="s">
        <v>657</v>
      </c>
      <c r="E51" t="s">
        <v>663</v>
      </c>
      <c r="F51" t="s">
        <v>655</v>
      </c>
      <c r="G51" t="s">
        <v>30</v>
      </c>
      <c r="H51" t="s">
        <v>735</v>
      </c>
      <c r="I51" t="s">
        <v>41</v>
      </c>
      <c r="J51" t="s">
        <v>119</v>
      </c>
      <c r="K51" t="s">
        <v>41</v>
      </c>
      <c r="L51" s="3">
        <v>45907</v>
      </c>
      <c r="M51" t="s">
        <v>131</v>
      </c>
      <c r="P51" t="s">
        <v>119</v>
      </c>
      <c r="Q51" t="s">
        <v>94</v>
      </c>
      <c r="R51" t="s">
        <v>119</v>
      </c>
      <c r="S51" t="s">
        <v>47</v>
      </c>
      <c r="T51" t="s">
        <v>47</v>
      </c>
    </row>
    <row r="52" spans="1:20" x14ac:dyDescent="0.2">
      <c r="A52" t="s">
        <v>556</v>
      </c>
      <c r="B52" t="s">
        <v>736</v>
      </c>
      <c r="C52" t="s">
        <v>737</v>
      </c>
      <c r="D52" t="s">
        <v>657</v>
      </c>
      <c r="E52" t="s">
        <v>663</v>
      </c>
      <c r="F52" t="s">
        <v>655</v>
      </c>
      <c r="G52" t="s">
        <v>32</v>
      </c>
      <c r="H52" t="s">
        <v>738</v>
      </c>
      <c r="I52" t="s">
        <v>41</v>
      </c>
      <c r="J52" t="s">
        <v>119</v>
      </c>
      <c r="K52" t="s">
        <v>41</v>
      </c>
      <c r="L52" s="3">
        <v>45904</v>
      </c>
      <c r="M52" t="s">
        <v>37</v>
      </c>
      <c r="P52" t="s">
        <v>119</v>
      </c>
      <c r="Q52" t="s">
        <v>119</v>
      </c>
      <c r="R52" t="s">
        <v>119</v>
      </c>
      <c r="S52" t="s">
        <v>47</v>
      </c>
      <c r="T52" t="s">
        <v>47</v>
      </c>
    </row>
    <row r="53" spans="1:20" x14ac:dyDescent="0.2">
      <c r="A53" t="s">
        <v>557</v>
      </c>
      <c r="B53" t="s">
        <v>739</v>
      </c>
      <c r="C53" t="s">
        <v>740</v>
      </c>
      <c r="D53" t="s">
        <v>657</v>
      </c>
      <c r="E53" t="s">
        <v>663</v>
      </c>
      <c r="F53" t="s">
        <v>655</v>
      </c>
      <c r="G53" t="s">
        <v>30</v>
      </c>
      <c r="H53" t="s">
        <v>741</v>
      </c>
      <c r="I53" t="s">
        <v>41</v>
      </c>
      <c r="J53" t="s">
        <v>119</v>
      </c>
      <c r="K53" t="s">
        <v>41</v>
      </c>
      <c r="L53" s="3">
        <v>45790</v>
      </c>
      <c r="M53" t="s">
        <v>36</v>
      </c>
      <c r="P53" t="s">
        <v>119</v>
      </c>
      <c r="Q53" t="s">
        <v>119</v>
      </c>
      <c r="R53" t="s">
        <v>119</v>
      </c>
      <c r="S53" t="s">
        <v>47</v>
      </c>
      <c r="T53" t="s">
        <v>47</v>
      </c>
    </row>
    <row r="54" spans="1:20" x14ac:dyDescent="0.2">
      <c r="A54" t="s">
        <v>558</v>
      </c>
      <c r="B54" t="s">
        <v>742</v>
      </c>
      <c r="C54" t="s">
        <v>743</v>
      </c>
      <c r="D54" t="s">
        <v>657</v>
      </c>
      <c r="E54" t="s">
        <v>663</v>
      </c>
      <c r="F54" t="s">
        <v>655</v>
      </c>
      <c r="G54" t="s">
        <v>30</v>
      </c>
      <c r="H54" t="s">
        <v>744</v>
      </c>
      <c r="I54" t="s">
        <v>41</v>
      </c>
      <c r="J54" t="s">
        <v>119</v>
      </c>
      <c r="K54" t="s">
        <v>41</v>
      </c>
      <c r="L54" s="3">
        <v>45757</v>
      </c>
      <c r="M54" t="s">
        <v>37</v>
      </c>
      <c r="P54" t="s">
        <v>119</v>
      </c>
      <c r="Q54" t="s">
        <v>119</v>
      </c>
      <c r="R54" t="s">
        <v>119</v>
      </c>
      <c r="S54" t="s">
        <v>47</v>
      </c>
      <c r="T54" t="s">
        <v>47</v>
      </c>
    </row>
    <row r="55" spans="1:20" x14ac:dyDescent="0.2">
      <c r="A55" t="s">
        <v>559</v>
      </c>
      <c r="B55" t="s">
        <v>745</v>
      </c>
      <c r="C55" t="s">
        <v>746</v>
      </c>
      <c r="D55" t="s">
        <v>657</v>
      </c>
      <c r="E55" t="s">
        <v>663</v>
      </c>
      <c r="F55" t="s">
        <v>655</v>
      </c>
      <c r="G55" t="s">
        <v>32</v>
      </c>
      <c r="H55" t="s">
        <v>744</v>
      </c>
      <c r="I55" t="s">
        <v>41</v>
      </c>
      <c r="J55" t="s">
        <v>119</v>
      </c>
      <c r="K55" t="s">
        <v>41</v>
      </c>
      <c r="L55" s="3">
        <v>45730</v>
      </c>
      <c r="M55" t="s">
        <v>36</v>
      </c>
      <c r="P55" t="s">
        <v>119</v>
      </c>
      <c r="Q55" t="s">
        <v>119</v>
      </c>
      <c r="R55" t="s">
        <v>119</v>
      </c>
      <c r="S55" t="s">
        <v>47</v>
      </c>
      <c r="T55" t="s">
        <v>47</v>
      </c>
    </row>
    <row r="56" spans="1:20" x14ac:dyDescent="0.2">
      <c r="A56" t="s">
        <v>560</v>
      </c>
      <c r="B56" t="s">
        <v>747</v>
      </c>
      <c r="C56" t="s">
        <v>748</v>
      </c>
      <c r="D56" t="s">
        <v>657</v>
      </c>
      <c r="E56" t="s">
        <v>663</v>
      </c>
      <c r="F56" t="s">
        <v>655</v>
      </c>
      <c r="G56" t="s">
        <v>32</v>
      </c>
      <c r="H56" t="s">
        <v>664</v>
      </c>
      <c r="I56" t="s">
        <v>41</v>
      </c>
      <c r="J56" t="s">
        <v>119</v>
      </c>
      <c r="K56" t="s">
        <v>41</v>
      </c>
      <c r="L56" s="3">
        <v>45734</v>
      </c>
      <c r="M56" t="s">
        <v>37</v>
      </c>
      <c r="P56" t="s">
        <v>119</v>
      </c>
      <c r="Q56" t="s">
        <v>119</v>
      </c>
      <c r="R56" t="s">
        <v>119</v>
      </c>
      <c r="S56" t="s">
        <v>47</v>
      </c>
      <c r="T56" t="s">
        <v>47</v>
      </c>
    </row>
    <row r="57" spans="1:20" x14ac:dyDescent="0.2">
      <c r="A57" t="s">
        <v>561</v>
      </c>
      <c r="B57" t="s">
        <v>749</v>
      </c>
      <c r="C57" t="s">
        <v>750</v>
      </c>
      <c r="D57" t="s">
        <v>657</v>
      </c>
      <c r="E57" t="s">
        <v>663</v>
      </c>
      <c r="F57" t="s">
        <v>655</v>
      </c>
      <c r="G57" t="s">
        <v>30</v>
      </c>
      <c r="H57" t="s">
        <v>257</v>
      </c>
      <c r="I57" t="s">
        <v>41</v>
      </c>
      <c r="J57" t="s">
        <v>119</v>
      </c>
      <c r="K57" t="s">
        <v>41</v>
      </c>
      <c r="L57" s="3">
        <v>45720</v>
      </c>
      <c r="M57" t="s">
        <v>37</v>
      </c>
      <c r="P57" t="s">
        <v>119</v>
      </c>
      <c r="Q57" t="s">
        <v>119</v>
      </c>
      <c r="R57" t="s">
        <v>119</v>
      </c>
      <c r="S57" t="s">
        <v>47</v>
      </c>
      <c r="T57" t="s">
        <v>47</v>
      </c>
    </row>
    <row r="58" spans="1:20" x14ac:dyDescent="0.2">
      <c r="A58" t="s">
        <v>562</v>
      </c>
      <c r="B58" t="s">
        <v>751</v>
      </c>
      <c r="C58" t="s">
        <v>752</v>
      </c>
      <c r="D58" t="s">
        <v>657</v>
      </c>
      <c r="E58" t="s">
        <v>663</v>
      </c>
      <c r="F58" t="s">
        <v>655</v>
      </c>
      <c r="G58" t="s">
        <v>30</v>
      </c>
      <c r="H58" t="s">
        <v>664</v>
      </c>
      <c r="I58" t="s">
        <v>41</v>
      </c>
      <c r="J58" t="s">
        <v>119</v>
      </c>
      <c r="K58" t="s">
        <v>41</v>
      </c>
      <c r="L58" s="3">
        <v>45785</v>
      </c>
      <c r="M58" t="s">
        <v>36</v>
      </c>
      <c r="P58" t="s">
        <v>119</v>
      </c>
      <c r="Q58" t="s">
        <v>119</v>
      </c>
      <c r="R58" t="s">
        <v>119</v>
      </c>
      <c r="S58" t="s">
        <v>47</v>
      </c>
      <c r="T58" t="s">
        <v>47</v>
      </c>
    </row>
    <row r="59" spans="1:20" x14ac:dyDescent="0.2">
      <c r="A59" t="s">
        <v>563</v>
      </c>
      <c r="B59" t="s">
        <v>753</v>
      </c>
      <c r="C59" t="s">
        <v>754</v>
      </c>
      <c r="D59" t="s">
        <v>657</v>
      </c>
      <c r="E59" t="s">
        <v>663</v>
      </c>
      <c r="F59" t="s">
        <v>655</v>
      </c>
      <c r="G59" t="s">
        <v>30</v>
      </c>
      <c r="H59" t="s">
        <v>147</v>
      </c>
      <c r="I59" t="s">
        <v>41</v>
      </c>
      <c r="J59" t="s">
        <v>119</v>
      </c>
      <c r="K59" t="s">
        <v>41</v>
      </c>
      <c r="L59" s="3">
        <v>45674</v>
      </c>
      <c r="M59" t="s">
        <v>36</v>
      </c>
      <c r="P59" t="s">
        <v>119</v>
      </c>
      <c r="Q59" t="s">
        <v>119</v>
      </c>
      <c r="R59" t="s">
        <v>119</v>
      </c>
      <c r="S59" t="s">
        <v>47</v>
      </c>
      <c r="T59" t="s">
        <v>47</v>
      </c>
    </row>
    <row r="60" spans="1:20" x14ac:dyDescent="0.2">
      <c r="A60" t="s">
        <v>564</v>
      </c>
      <c r="B60" t="s">
        <v>716</v>
      </c>
      <c r="C60" t="s">
        <v>755</v>
      </c>
      <c r="D60" t="s">
        <v>657</v>
      </c>
      <c r="E60" t="s">
        <v>663</v>
      </c>
      <c r="F60" t="s">
        <v>655</v>
      </c>
      <c r="G60" t="s">
        <v>159</v>
      </c>
      <c r="H60" t="s">
        <v>160</v>
      </c>
      <c r="I60" t="s">
        <v>41</v>
      </c>
      <c r="J60" t="s">
        <v>119</v>
      </c>
      <c r="K60" t="s">
        <v>41</v>
      </c>
      <c r="L60" s="3">
        <v>45809</v>
      </c>
      <c r="M60" t="s">
        <v>36</v>
      </c>
      <c r="P60" t="s">
        <v>119</v>
      </c>
      <c r="Q60" t="s">
        <v>119</v>
      </c>
      <c r="R60" t="s">
        <v>119</v>
      </c>
      <c r="S60" t="s">
        <v>47</v>
      </c>
      <c r="T60" t="s">
        <v>47</v>
      </c>
    </row>
    <row r="61" spans="1:20" x14ac:dyDescent="0.2">
      <c r="A61" t="s">
        <v>565</v>
      </c>
      <c r="B61" t="s">
        <v>756</v>
      </c>
      <c r="C61" t="s">
        <v>757</v>
      </c>
      <c r="D61" t="s">
        <v>657</v>
      </c>
      <c r="E61" t="s">
        <v>663</v>
      </c>
      <c r="F61" t="s">
        <v>655</v>
      </c>
      <c r="G61" t="s">
        <v>30</v>
      </c>
      <c r="H61" t="s">
        <v>160</v>
      </c>
      <c r="I61" t="s">
        <v>41</v>
      </c>
      <c r="J61" t="s">
        <v>119</v>
      </c>
      <c r="K61" t="s">
        <v>41</v>
      </c>
      <c r="L61" s="3">
        <v>45834</v>
      </c>
      <c r="M61" t="s">
        <v>37</v>
      </c>
      <c r="P61" t="s">
        <v>119</v>
      </c>
      <c r="Q61" t="s">
        <v>119</v>
      </c>
      <c r="R61" t="s">
        <v>119</v>
      </c>
      <c r="S61" t="s">
        <v>47</v>
      </c>
      <c r="T61" t="s">
        <v>47</v>
      </c>
    </row>
    <row r="62" spans="1:20" x14ac:dyDescent="0.2">
      <c r="A62" t="s">
        <v>566</v>
      </c>
      <c r="B62" t="s">
        <v>756</v>
      </c>
      <c r="C62" t="s">
        <v>758</v>
      </c>
      <c r="D62" t="s">
        <v>657</v>
      </c>
      <c r="E62" t="s">
        <v>663</v>
      </c>
      <c r="F62" t="s">
        <v>655</v>
      </c>
      <c r="G62" t="s">
        <v>30</v>
      </c>
      <c r="H62" t="s">
        <v>160</v>
      </c>
      <c r="I62" t="s">
        <v>41</v>
      </c>
      <c r="J62" t="s">
        <v>119</v>
      </c>
      <c r="K62" t="s">
        <v>41</v>
      </c>
      <c r="L62" s="3">
        <v>45928</v>
      </c>
      <c r="M62" t="s">
        <v>37</v>
      </c>
      <c r="P62" t="s">
        <v>119</v>
      </c>
      <c r="Q62" t="s">
        <v>119</v>
      </c>
      <c r="R62" t="s">
        <v>119</v>
      </c>
      <c r="S62" t="s">
        <v>47</v>
      </c>
      <c r="T62" t="s">
        <v>47</v>
      </c>
    </row>
    <row r="63" spans="1:20" x14ac:dyDescent="0.2">
      <c r="A63" t="s">
        <v>567</v>
      </c>
      <c r="B63" t="s">
        <v>723</v>
      </c>
      <c r="C63" t="s">
        <v>759</v>
      </c>
      <c r="D63" t="s">
        <v>658</v>
      </c>
      <c r="E63" t="s">
        <v>659</v>
      </c>
      <c r="F63" t="s">
        <v>39</v>
      </c>
      <c r="G63" t="s">
        <v>30</v>
      </c>
      <c r="H63" t="s">
        <v>173</v>
      </c>
      <c r="I63" t="s">
        <v>41</v>
      </c>
      <c r="J63" t="s">
        <v>119</v>
      </c>
      <c r="K63" t="s">
        <v>41</v>
      </c>
      <c r="L63" s="3">
        <v>45941</v>
      </c>
      <c r="M63" t="s">
        <v>37</v>
      </c>
      <c r="P63" t="s">
        <v>119</v>
      </c>
      <c r="Q63" t="s">
        <v>119</v>
      </c>
      <c r="R63" t="s">
        <v>119</v>
      </c>
      <c r="S63" t="s">
        <v>47</v>
      </c>
      <c r="T63" t="s">
        <v>47</v>
      </c>
    </row>
    <row r="64" spans="1:20" x14ac:dyDescent="0.2">
      <c r="A64" t="s">
        <v>568</v>
      </c>
      <c r="B64" t="s">
        <v>760</v>
      </c>
      <c r="C64" t="s">
        <v>761</v>
      </c>
      <c r="D64" t="s">
        <v>658</v>
      </c>
      <c r="E64" t="s">
        <v>659</v>
      </c>
      <c r="F64" t="s">
        <v>39</v>
      </c>
      <c r="G64" t="s">
        <v>31</v>
      </c>
      <c r="H64" t="s">
        <v>173</v>
      </c>
      <c r="I64" t="s">
        <v>41</v>
      </c>
      <c r="J64" t="s">
        <v>119</v>
      </c>
      <c r="K64" t="s">
        <v>41</v>
      </c>
      <c r="L64" s="3">
        <v>45922</v>
      </c>
      <c r="M64" t="s">
        <v>36</v>
      </c>
      <c r="P64" t="s">
        <v>119</v>
      </c>
      <c r="Q64" t="s">
        <v>119</v>
      </c>
      <c r="R64" t="s">
        <v>119</v>
      </c>
      <c r="S64" t="s">
        <v>47</v>
      </c>
      <c r="T64" t="s">
        <v>47</v>
      </c>
    </row>
    <row r="65" spans="1:20" x14ac:dyDescent="0.2">
      <c r="A65" t="s">
        <v>569</v>
      </c>
      <c r="B65" t="s">
        <v>762</v>
      </c>
      <c r="C65" t="s">
        <v>763</v>
      </c>
      <c r="D65" t="s">
        <v>658</v>
      </c>
      <c r="E65" t="s">
        <v>659</v>
      </c>
      <c r="F65" t="s">
        <v>39</v>
      </c>
      <c r="G65" t="s">
        <v>30</v>
      </c>
      <c r="H65" t="s">
        <v>182</v>
      </c>
      <c r="I65" t="s">
        <v>41</v>
      </c>
      <c r="J65" t="s">
        <v>119</v>
      </c>
      <c r="K65" t="s">
        <v>41</v>
      </c>
      <c r="L65" s="3">
        <v>45992</v>
      </c>
      <c r="M65" t="s">
        <v>131</v>
      </c>
      <c r="P65" t="s">
        <v>119</v>
      </c>
      <c r="Q65" t="s">
        <v>94</v>
      </c>
      <c r="R65" t="s">
        <v>119</v>
      </c>
      <c r="S65" t="s">
        <v>47</v>
      </c>
      <c r="T65" t="s">
        <v>47</v>
      </c>
    </row>
    <row r="66" spans="1:20" x14ac:dyDescent="0.2">
      <c r="A66" t="s">
        <v>570</v>
      </c>
      <c r="B66" t="s">
        <v>753</v>
      </c>
      <c r="C66" t="s">
        <v>764</v>
      </c>
      <c r="D66" t="s">
        <v>658</v>
      </c>
      <c r="E66" t="s">
        <v>659</v>
      </c>
      <c r="F66" t="s">
        <v>39</v>
      </c>
      <c r="G66" t="s">
        <v>30</v>
      </c>
      <c r="H66" t="s">
        <v>147</v>
      </c>
      <c r="I66" t="s">
        <v>41</v>
      </c>
      <c r="J66" t="s">
        <v>119</v>
      </c>
      <c r="K66" t="s">
        <v>41</v>
      </c>
      <c r="L66" s="3">
        <v>45703</v>
      </c>
      <c r="M66" t="s">
        <v>36</v>
      </c>
      <c r="P66" t="s">
        <v>119</v>
      </c>
      <c r="Q66" t="s">
        <v>119</v>
      </c>
      <c r="R66" t="s">
        <v>119</v>
      </c>
      <c r="S66" t="s">
        <v>47</v>
      </c>
      <c r="T66" t="s">
        <v>47</v>
      </c>
    </row>
    <row r="67" spans="1:20" x14ac:dyDescent="0.2">
      <c r="A67" t="s">
        <v>571</v>
      </c>
      <c r="B67" t="s">
        <v>765</v>
      </c>
      <c r="C67" t="s">
        <v>766</v>
      </c>
      <c r="D67" t="s">
        <v>658</v>
      </c>
      <c r="E67" t="s">
        <v>659</v>
      </c>
      <c r="F67" t="s">
        <v>39</v>
      </c>
      <c r="G67" t="s">
        <v>30</v>
      </c>
      <c r="H67" t="s">
        <v>160</v>
      </c>
      <c r="I67" t="s">
        <v>41</v>
      </c>
      <c r="J67" t="s">
        <v>119</v>
      </c>
      <c r="K67" t="s">
        <v>41</v>
      </c>
      <c r="L67" s="3">
        <v>45698</v>
      </c>
      <c r="M67" t="s">
        <v>131</v>
      </c>
      <c r="P67" t="s">
        <v>119</v>
      </c>
      <c r="Q67" t="s">
        <v>94</v>
      </c>
      <c r="R67" t="s">
        <v>119</v>
      </c>
      <c r="S67" t="s">
        <v>47</v>
      </c>
      <c r="T67" t="s">
        <v>47</v>
      </c>
    </row>
    <row r="68" spans="1:20" x14ac:dyDescent="0.2">
      <c r="A68" t="s">
        <v>572</v>
      </c>
      <c r="B68" t="s">
        <v>767</v>
      </c>
      <c r="C68" t="s">
        <v>768</v>
      </c>
      <c r="D68" t="s">
        <v>658</v>
      </c>
      <c r="E68" t="s">
        <v>659</v>
      </c>
      <c r="F68" t="s">
        <v>39</v>
      </c>
      <c r="G68" t="s">
        <v>30</v>
      </c>
      <c r="H68" t="s">
        <v>160</v>
      </c>
      <c r="I68" t="s">
        <v>41</v>
      </c>
      <c r="J68" t="s">
        <v>119</v>
      </c>
      <c r="K68" t="s">
        <v>41</v>
      </c>
      <c r="L68" s="3">
        <v>45662</v>
      </c>
      <c r="M68" t="s">
        <v>36</v>
      </c>
      <c r="P68" t="s">
        <v>119</v>
      </c>
      <c r="Q68" t="s">
        <v>119</v>
      </c>
      <c r="R68" t="s">
        <v>119</v>
      </c>
      <c r="S68" t="s">
        <v>47</v>
      </c>
      <c r="T68" t="s">
        <v>47</v>
      </c>
    </row>
    <row r="69" spans="1:20" x14ac:dyDescent="0.2">
      <c r="A69" t="s">
        <v>573</v>
      </c>
      <c r="B69" t="s">
        <v>756</v>
      </c>
      <c r="C69" t="s">
        <v>769</v>
      </c>
      <c r="D69" t="s">
        <v>658</v>
      </c>
      <c r="E69" t="s">
        <v>659</v>
      </c>
      <c r="F69" t="s">
        <v>39</v>
      </c>
      <c r="G69" t="s">
        <v>30</v>
      </c>
      <c r="H69" t="s">
        <v>160</v>
      </c>
      <c r="I69" t="s">
        <v>41</v>
      </c>
      <c r="J69" t="s">
        <v>119</v>
      </c>
      <c r="K69" t="s">
        <v>41</v>
      </c>
      <c r="L69" s="3">
        <v>45872</v>
      </c>
      <c r="M69" t="s">
        <v>37</v>
      </c>
      <c r="P69" t="s">
        <v>119</v>
      </c>
      <c r="Q69" t="s">
        <v>119</v>
      </c>
      <c r="R69" t="s">
        <v>119</v>
      </c>
      <c r="S69" t="s">
        <v>47</v>
      </c>
      <c r="T69" t="s">
        <v>47</v>
      </c>
    </row>
    <row r="70" spans="1:20" x14ac:dyDescent="0.2">
      <c r="A70" t="s">
        <v>574</v>
      </c>
      <c r="B70" t="s">
        <v>721</v>
      </c>
      <c r="C70" t="s">
        <v>770</v>
      </c>
      <c r="D70" t="s">
        <v>658</v>
      </c>
      <c r="E70" t="s">
        <v>659</v>
      </c>
      <c r="F70" t="s">
        <v>39</v>
      </c>
      <c r="G70" t="s">
        <v>30</v>
      </c>
      <c r="H70" t="s">
        <v>173</v>
      </c>
      <c r="I70" t="s">
        <v>41</v>
      </c>
      <c r="J70" t="s">
        <v>119</v>
      </c>
      <c r="K70" t="s">
        <v>41</v>
      </c>
      <c r="L70" s="3">
        <v>45683</v>
      </c>
      <c r="M70" t="s">
        <v>36</v>
      </c>
      <c r="P70" t="s">
        <v>119</v>
      </c>
      <c r="Q70" t="s">
        <v>119</v>
      </c>
      <c r="R70" t="s">
        <v>119</v>
      </c>
      <c r="S70" t="s">
        <v>47</v>
      </c>
      <c r="T70" t="s">
        <v>47</v>
      </c>
    </row>
    <row r="71" spans="1:20" x14ac:dyDescent="0.2">
      <c r="A71" t="s">
        <v>575</v>
      </c>
      <c r="B71" t="s">
        <v>760</v>
      </c>
      <c r="C71" t="s">
        <v>771</v>
      </c>
      <c r="D71" t="s">
        <v>658</v>
      </c>
      <c r="E71" t="s">
        <v>659</v>
      </c>
      <c r="F71" t="s">
        <v>39</v>
      </c>
      <c r="G71" t="s">
        <v>31</v>
      </c>
      <c r="H71" t="s">
        <v>173</v>
      </c>
      <c r="I71" t="s">
        <v>41</v>
      </c>
      <c r="J71" t="s">
        <v>119</v>
      </c>
      <c r="K71" t="s">
        <v>42</v>
      </c>
      <c r="L71" s="3">
        <v>45789</v>
      </c>
      <c r="M71" t="s">
        <v>36</v>
      </c>
      <c r="P71" t="s">
        <v>119</v>
      </c>
      <c r="Q71" t="s">
        <v>119</v>
      </c>
      <c r="R71" t="s">
        <v>119</v>
      </c>
      <c r="S71" t="s">
        <v>47</v>
      </c>
      <c r="T71" t="s">
        <v>47</v>
      </c>
    </row>
    <row r="72" spans="1:20" x14ac:dyDescent="0.2">
      <c r="A72" t="s">
        <v>576</v>
      </c>
      <c r="B72" t="s">
        <v>772</v>
      </c>
      <c r="C72" t="s">
        <v>773</v>
      </c>
      <c r="D72" t="s">
        <v>192</v>
      </c>
      <c r="E72" t="s">
        <v>660</v>
      </c>
      <c r="F72" t="s">
        <v>27</v>
      </c>
      <c r="G72" t="s">
        <v>31</v>
      </c>
      <c r="H72" t="s">
        <v>182</v>
      </c>
      <c r="I72" t="s">
        <v>41</v>
      </c>
      <c r="J72" t="s">
        <v>119</v>
      </c>
      <c r="K72" t="s">
        <v>42</v>
      </c>
      <c r="L72" s="3">
        <v>45824</v>
      </c>
      <c r="M72" t="s">
        <v>36</v>
      </c>
      <c r="P72" t="s">
        <v>119</v>
      </c>
      <c r="Q72" t="s">
        <v>119</v>
      </c>
      <c r="R72" t="s">
        <v>119</v>
      </c>
      <c r="S72" t="s">
        <v>47</v>
      </c>
      <c r="T72" t="s">
        <v>47</v>
      </c>
    </row>
    <row r="73" spans="1:20" x14ac:dyDescent="0.2">
      <c r="A73" t="s">
        <v>577</v>
      </c>
      <c r="B73" t="s">
        <v>774</v>
      </c>
      <c r="C73" t="s">
        <v>775</v>
      </c>
      <c r="D73" t="s">
        <v>192</v>
      </c>
      <c r="E73" t="s">
        <v>660</v>
      </c>
      <c r="F73" t="s">
        <v>27</v>
      </c>
      <c r="G73" t="s">
        <v>159</v>
      </c>
      <c r="H73" t="s">
        <v>187</v>
      </c>
      <c r="I73" t="s">
        <v>41</v>
      </c>
      <c r="J73" t="s">
        <v>119</v>
      </c>
      <c r="K73" t="s">
        <v>42</v>
      </c>
      <c r="L73" s="3">
        <v>45753</v>
      </c>
      <c r="M73" t="s">
        <v>37</v>
      </c>
      <c r="P73" t="s">
        <v>119</v>
      </c>
      <c r="Q73" t="s">
        <v>119</v>
      </c>
      <c r="R73" t="s">
        <v>119</v>
      </c>
      <c r="S73" t="s">
        <v>47</v>
      </c>
      <c r="T73" t="s">
        <v>47</v>
      </c>
    </row>
    <row r="74" spans="1:20" x14ac:dyDescent="0.2">
      <c r="A74" t="s">
        <v>578</v>
      </c>
      <c r="B74" t="s">
        <v>776</v>
      </c>
      <c r="C74" t="s">
        <v>777</v>
      </c>
      <c r="D74" t="s">
        <v>192</v>
      </c>
      <c r="E74" t="s">
        <v>660</v>
      </c>
      <c r="F74" t="s">
        <v>27</v>
      </c>
      <c r="G74" t="s">
        <v>159</v>
      </c>
      <c r="H74" t="s">
        <v>273</v>
      </c>
      <c r="I74" t="s">
        <v>41</v>
      </c>
      <c r="J74" t="s">
        <v>119</v>
      </c>
      <c r="K74" t="s">
        <v>42</v>
      </c>
      <c r="L74" s="3">
        <v>45681</v>
      </c>
      <c r="M74" t="s">
        <v>131</v>
      </c>
      <c r="P74" t="s">
        <v>119</v>
      </c>
      <c r="Q74" t="s">
        <v>94</v>
      </c>
      <c r="R74" t="s">
        <v>94</v>
      </c>
      <c r="S74" t="s">
        <v>47</v>
      </c>
      <c r="T74" t="s">
        <v>47</v>
      </c>
    </row>
    <row r="75" spans="1:20" x14ac:dyDescent="0.2">
      <c r="A75" t="s">
        <v>579</v>
      </c>
      <c r="B75" t="s">
        <v>778</v>
      </c>
      <c r="C75" t="s">
        <v>779</v>
      </c>
      <c r="D75" t="s">
        <v>192</v>
      </c>
      <c r="E75" t="s">
        <v>660</v>
      </c>
      <c r="F75" t="s">
        <v>27</v>
      </c>
      <c r="G75" t="s">
        <v>159</v>
      </c>
      <c r="H75" t="s">
        <v>250</v>
      </c>
      <c r="I75" t="s">
        <v>41</v>
      </c>
      <c r="J75" t="s">
        <v>119</v>
      </c>
      <c r="K75" t="s">
        <v>42</v>
      </c>
      <c r="L75" s="3">
        <v>45798</v>
      </c>
      <c r="M75" t="s">
        <v>37</v>
      </c>
      <c r="P75" t="s">
        <v>119</v>
      </c>
      <c r="Q75" t="s">
        <v>119</v>
      </c>
      <c r="R75" t="s">
        <v>119</v>
      </c>
      <c r="S75" t="s">
        <v>47</v>
      </c>
      <c r="T75" t="s">
        <v>47</v>
      </c>
    </row>
    <row r="76" spans="1:20" x14ac:dyDescent="0.2">
      <c r="A76" t="s">
        <v>580</v>
      </c>
      <c r="B76" t="s">
        <v>780</v>
      </c>
      <c r="C76" t="s">
        <v>781</v>
      </c>
      <c r="D76" t="s">
        <v>192</v>
      </c>
      <c r="E76" t="s">
        <v>660</v>
      </c>
      <c r="F76" t="s">
        <v>27</v>
      </c>
      <c r="G76" t="s">
        <v>30</v>
      </c>
      <c r="H76" t="s">
        <v>250</v>
      </c>
      <c r="I76" t="s">
        <v>41</v>
      </c>
      <c r="J76" t="s">
        <v>119</v>
      </c>
      <c r="K76" t="s">
        <v>42</v>
      </c>
      <c r="L76" s="3">
        <v>45881</v>
      </c>
      <c r="M76" t="s">
        <v>36</v>
      </c>
      <c r="P76" t="s">
        <v>119</v>
      </c>
      <c r="Q76" t="s">
        <v>119</v>
      </c>
      <c r="R76" t="s">
        <v>119</v>
      </c>
      <c r="S76" t="s">
        <v>47</v>
      </c>
      <c r="T76" t="s">
        <v>47</v>
      </c>
    </row>
    <row r="77" spans="1:20" x14ac:dyDescent="0.2">
      <c r="A77" t="s">
        <v>581</v>
      </c>
      <c r="B77" t="s">
        <v>749</v>
      </c>
      <c r="C77" t="s">
        <v>782</v>
      </c>
      <c r="D77" t="s">
        <v>192</v>
      </c>
      <c r="E77" t="s">
        <v>660</v>
      </c>
      <c r="F77" t="s">
        <v>27</v>
      </c>
      <c r="G77" t="s">
        <v>30</v>
      </c>
      <c r="H77" t="s">
        <v>257</v>
      </c>
      <c r="I77" t="s">
        <v>41</v>
      </c>
      <c r="J77" t="s">
        <v>119</v>
      </c>
      <c r="K77" t="s">
        <v>42</v>
      </c>
      <c r="L77" s="3">
        <v>45810</v>
      </c>
      <c r="M77" t="s">
        <v>37</v>
      </c>
      <c r="P77" t="s">
        <v>119</v>
      </c>
      <c r="Q77" t="s">
        <v>119</v>
      </c>
      <c r="R77" t="s">
        <v>119</v>
      </c>
      <c r="S77" t="s">
        <v>47</v>
      </c>
      <c r="T77" t="s">
        <v>47</v>
      </c>
    </row>
    <row r="78" spans="1:20" x14ac:dyDescent="0.2">
      <c r="A78" t="s">
        <v>582</v>
      </c>
      <c r="B78" t="s">
        <v>783</v>
      </c>
      <c r="C78" t="s">
        <v>784</v>
      </c>
      <c r="D78" t="s">
        <v>192</v>
      </c>
      <c r="E78" t="s">
        <v>660</v>
      </c>
      <c r="F78" t="s">
        <v>27</v>
      </c>
      <c r="G78" t="s">
        <v>30</v>
      </c>
      <c r="H78" t="s">
        <v>257</v>
      </c>
      <c r="I78" t="s">
        <v>41</v>
      </c>
      <c r="J78" t="s">
        <v>119</v>
      </c>
      <c r="K78" t="s">
        <v>42</v>
      </c>
      <c r="L78" s="3">
        <v>46013</v>
      </c>
      <c r="M78" t="s">
        <v>36</v>
      </c>
      <c r="P78" t="s">
        <v>119</v>
      </c>
      <c r="Q78" t="s">
        <v>119</v>
      </c>
      <c r="R78" t="s">
        <v>119</v>
      </c>
      <c r="S78" t="s">
        <v>47</v>
      </c>
      <c r="T78" t="s">
        <v>47</v>
      </c>
    </row>
    <row r="79" spans="1:20" x14ac:dyDescent="0.2">
      <c r="A79" t="s">
        <v>583</v>
      </c>
      <c r="B79" t="s">
        <v>785</v>
      </c>
      <c r="C79" t="s">
        <v>786</v>
      </c>
      <c r="D79" t="s">
        <v>658</v>
      </c>
      <c r="E79" t="s">
        <v>158</v>
      </c>
      <c r="F79" t="s">
        <v>39</v>
      </c>
      <c r="G79" t="s">
        <v>31</v>
      </c>
      <c r="H79" t="s">
        <v>173</v>
      </c>
      <c r="I79" t="s">
        <v>41</v>
      </c>
      <c r="J79" t="s">
        <v>119</v>
      </c>
      <c r="K79" t="s">
        <v>41</v>
      </c>
      <c r="L79" s="3">
        <v>45888</v>
      </c>
      <c r="M79" t="s">
        <v>37</v>
      </c>
      <c r="P79" t="s">
        <v>119</v>
      </c>
      <c r="Q79" t="s">
        <v>119</v>
      </c>
      <c r="R79" t="s">
        <v>119</v>
      </c>
      <c r="S79" t="s">
        <v>47</v>
      </c>
      <c r="T79" t="s">
        <v>47</v>
      </c>
    </row>
    <row r="80" spans="1:20" x14ac:dyDescent="0.2">
      <c r="A80" t="s">
        <v>584</v>
      </c>
      <c r="B80" t="s">
        <v>787</v>
      </c>
      <c r="C80" t="s">
        <v>788</v>
      </c>
      <c r="D80" t="s">
        <v>658</v>
      </c>
      <c r="E80" t="s">
        <v>158</v>
      </c>
      <c r="F80" t="s">
        <v>39</v>
      </c>
      <c r="G80" t="s">
        <v>30</v>
      </c>
      <c r="H80" t="s">
        <v>182</v>
      </c>
      <c r="I80" t="s">
        <v>41</v>
      </c>
      <c r="J80" t="s">
        <v>119</v>
      </c>
      <c r="K80" t="s">
        <v>41</v>
      </c>
      <c r="L80" s="3">
        <v>45699</v>
      </c>
      <c r="M80" t="s">
        <v>37</v>
      </c>
      <c r="P80" t="s">
        <v>119</v>
      </c>
      <c r="Q80" t="s">
        <v>119</v>
      </c>
      <c r="R80" t="s">
        <v>119</v>
      </c>
      <c r="S80" t="s">
        <v>47</v>
      </c>
      <c r="T80" t="s">
        <v>47</v>
      </c>
    </row>
    <row r="81" spans="1:20" x14ac:dyDescent="0.2">
      <c r="A81" t="s">
        <v>585</v>
      </c>
      <c r="B81" t="s">
        <v>789</v>
      </c>
      <c r="C81" t="s">
        <v>790</v>
      </c>
      <c r="D81" t="s">
        <v>658</v>
      </c>
      <c r="E81" t="s">
        <v>158</v>
      </c>
      <c r="F81" t="s">
        <v>39</v>
      </c>
      <c r="G81" t="s">
        <v>30</v>
      </c>
      <c r="H81" t="s">
        <v>187</v>
      </c>
      <c r="I81" t="s">
        <v>41</v>
      </c>
      <c r="J81" t="s">
        <v>119</v>
      </c>
      <c r="K81" t="s">
        <v>41</v>
      </c>
      <c r="L81" s="3">
        <v>45993</v>
      </c>
      <c r="M81" t="s">
        <v>36</v>
      </c>
      <c r="P81" t="s">
        <v>119</v>
      </c>
      <c r="Q81" t="s">
        <v>119</v>
      </c>
      <c r="R81" t="s">
        <v>119</v>
      </c>
      <c r="S81" t="s">
        <v>47</v>
      </c>
      <c r="T81" t="s">
        <v>47</v>
      </c>
    </row>
    <row r="82" spans="1:20" x14ac:dyDescent="0.2">
      <c r="A82" t="s">
        <v>586</v>
      </c>
      <c r="B82" t="s">
        <v>729</v>
      </c>
      <c r="C82" t="s">
        <v>791</v>
      </c>
      <c r="D82" t="s">
        <v>658</v>
      </c>
      <c r="E82" t="s">
        <v>158</v>
      </c>
      <c r="F82" t="s">
        <v>39</v>
      </c>
      <c r="G82" t="s">
        <v>30</v>
      </c>
      <c r="H82" t="s">
        <v>273</v>
      </c>
      <c r="I82" t="s">
        <v>41</v>
      </c>
      <c r="J82" t="s">
        <v>119</v>
      </c>
      <c r="K82" t="s">
        <v>41</v>
      </c>
      <c r="L82" s="3">
        <v>45715</v>
      </c>
      <c r="M82" t="s">
        <v>36</v>
      </c>
      <c r="P82" t="s">
        <v>119</v>
      </c>
      <c r="Q82" t="s">
        <v>119</v>
      </c>
      <c r="R82" t="s">
        <v>94</v>
      </c>
      <c r="S82" t="s">
        <v>47</v>
      </c>
      <c r="T82" t="s">
        <v>47</v>
      </c>
    </row>
    <row r="83" spans="1:20" x14ac:dyDescent="0.2">
      <c r="A83" t="s">
        <v>587</v>
      </c>
      <c r="B83" t="s">
        <v>792</v>
      </c>
      <c r="C83" t="s">
        <v>793</v>
      </c>
      <c r="D83" t="s">
        <v>658</v>
      </c>
      <c r="E83" t="s">
        <v>158</v>
      </c>
      <c r="F83" t="s">
        <v>39</v>
      </c>
      <c r="G83" t="s">
        <v>31</v>
      </c>
      <c r="H83" t="s">
        <v>250</v>
      </c>
      <c r="I83" t="s">
        <v>41</v>
      </c>
      <c r="J83" t="s">
        <v>119</v>
      </c>
      <c r="K83" t="s">
        <v>41</v>
      </c>
      <c r="L83" s="3">
        <v>45755</v>
      </c>
      <c r="M83" t="s">
        <v>36</v>
      </c>
      <c r="P83" t="s">
        <v>119</v>
      </c>
      <c r="Q83" t="s">
        <v>119</v>
      </c>
      <c r="R83" t="s">
        <v>119</v>
      </c>
      <c r="S83" t="s">
        <v>47</v>
      </c>
      <c r="T83" t="s">
        <v>47</v>
      </c>
    </row>
    <row r="84" spans="1:20" x14ac:dyDescent="0.2">
      <c r="A84" t="s">
        <v>588</v>
      </c>
      <c r="B84" t="s">
        <v>794</v>
      </c>
      <c r="C84" t="s">
        <v>795</v>
      </c>
      <c r="D84" t="s">
        <v>658</v>
      </c>
      <c r="E84" t="s">
        <v>158</v>
      </c>
      <c r="F84" t="s">
        <v>39</v>
      </c>
      <c r="G84" t="s">
        <v>31</v>
      </c>
      <c r="H84" t="s">
        <v>250</v>
      </c>
      <c r="I84" t="s">
        <v>41</v>
      </c>
      <c r="J84" t="s">
        <v>119</v>
      </c>
      <c r="K84" t="s">
        <v>41</v>
      </c>
      <c r="L84" s="3">
        <v>45994</v>
      </c>
      <c r="M84" t="s">
        <v>37</v>
      </c>
      <c r="P84" t="s">
        <v>119</v>
      </c>
      <c r="Q84" t="s">
        <v>119</v>
      </c>
      <c r="R84" t="s">
        <v>119</v>
      </c>
      <c r="S84" t="s">
        <v>47</v>
      </c>
      <c r="T84" t="s">
        <v>47</v>
      </c>
    </row>
    <row r="85" spans="1:20" x14ac:dyDescent="0.2">
      <c r="A85" t="s">
        <v>589</v>
      </c>
      <c r="B85" t="s">
        <v>796</v>
      </c>
      <c r="C85" t="s">
        <v>797</v>
      </c>
      <c r="D85" t="s">
        <v>658</v>
      </c>
      <c r="E85" t="s">
        <v>158</v>
      </c>
      <c r="F85" t="s">
        <v>39</v>
      </c>
      <c r="G85" t="s">
        <v>31</v>
      </c>
      <c r="H85" t="s">
        <v>257</v>
      </c>
      <c r="I85" t="s">
        <v>41</v>
      </c>
      <c r="J85" t="s">
        <v>119</v>
      </c>
      <c r="K85" t="s">
        <v>41</v>
      </c>
      <c r="L85" s="3">
        <v>45847</v>
      </c>
      <c r="M85" t="s">
        <v>37</v>
      </c>
      <c r="P85" t="s">
        <v>119</v>
      </c>
      <c r="Q85" t="s">
        <v>119</v>
      </c>
      <c r="R85" t="s">
        <v>119</v>
      </c>
      <c r="S85" t="s">
        <v>47</v>
      </c>
      <c r="T85" t="s">
        <v>47</v>
      </c>
    </row>
    <row r="86" spans="1:20" x14ac:dyDescent="0.2">
      <c r="A86" t="s">
        <v>590</v>
      </c>
      <c r="B86" t="s">
        <v>718</v>
      </c>
      <c r="C86" t="s">
        <v>798</v>
      </c>
      <c r="D86" t="s">
        <v>658</v>
      </c>
      <c r="E86" t="s">
        <v>158</v>
      </c>
      <c r="F86" t="s">
        <v>39</v>
      </c>
      <c r="G86" t="s">
        <v>159</v>
      </c>
      <c r="H86" t="s">
        <v>160</v>
      </c>
      <c r="I86" t="s">
        <v>41</v>
      </c>
      <c r="J86" t="s">
        <v>119</v>
      </c>
      <c r="K86" t="s">
        <v>41</v>
      </c>
      <c r="L86" s="3">
        <v>46010</v>
      </c>
      <c r="M86" t="s">
        <v>37</v>
      </c>
      <c r="P86" t="s">
        <v>119</v>
      </c>
      <c r="Q86" t="s">
        <v>119</v>
      </c>
      <c r="R86" t="s">
        <v>119</v>
      </c>
      <c r="S86" t="s">
        <v>47</v>
      </c>
      <c r="T86" t="s">
        <v>47</v>
      </c>
    </row>
    <row r="87" spans="1:20" x14ac:dyDescent="0.2">
      <c r="A87" t="s">
        <v>591</v>
      </c>
      <c r="B87" t="s">
        <v>716</v>
      </c>
      <c r="C87" t="s">
        <v>799</v>
      </c>
      <c r="D87" t="s">
        <v>658</v>
      </c>
      <c r="E87" t="s">
        <v>158</v>
      </c>
      <c r="F87" t="s">
        <v>39</v>
      </c>
      <c r="G87" t="s">
        <v>159</v>
      </c>
      <c r="H87" t="s">
        <v>160</v>
      </c>
      <c r="I87" t="s">
        <v>41</v>
      </c>
      <c r="J87" t="s">
        <v>119</v>
      </c>
      <c r="K87" t="s">
        <v>41</v>
      </c>
      <c r="L87" s="3">
        <v>46003</v>
      </c>
      <c r="M87" t="s">
        <v>36</v>
      </c>
      <c r="P87" t="s">
        <v>119</v>
      </c>
      <c r="Q87" t="s">
        <v>119</v>
      </c>
      <c r="R87" t="s">
        <v>119</v>
      </c>
      <c r="S87" t="s">
        <v>47</v>
      </c>
      <c r="T87" t="s">
        <v>47</v>
      </c>
    </row>
    <row r="88" spans="1:20" x14ac:dyDescent="0.2">
      <c r="A88" t="s">
        <v>592</v>
      </c>
      <c r="B88" t="s">
        <v>718</v>
      </c>
      <c r="C88" t="s">
        <v>800</v>
      </c>
      <c r="D88" t="s">
        <v>657</v>
      </c>
      <c r="E88" t="s">
        <v>663</v>
      </c>
      <c r="F88" t="s">
        <v>655</v>
      </c>
      <c r="G88" t="s">
        <v>159</v>
      </c>
      <c r="H88" t="s">
        <v>160</v>
      </c>
      <c r="I88" t="s">
        <v>41</v>
      </c>
      <c r="J88" t="s">
        <v>119</v>
      </c>
      <c r="K88" t="s">
        <v>41</v>
      </c>
      <c r="L88" s="3">
        <v>46007</v>
      </c>
      <c r="M88" t="s">
        <v>37</v>
      </c>
      <c r="P88" t="s">
        <v>119</v>
      </c>
      <c r="Q88" t="s">
        <v>119</v>
      </c>
      <c r="R88" t="s">
        <v>119</v>
      </c>
      <c r="S88" t="s">
        <v>47</v>
      </c>
      <c r="T88" t="s">
        <v>47</v>
      </c>
    </row>
    <row r="89" spans="1:20" x14ac:dyDescent="0.2">
      <c r="A89" t="s">
        <v>593</v>
      </c>
      <c r="B89" t="s">
        <v>801</v>
      </c>
      <c r="C89" t="s">
        <v>802</v>
      </c>
      <c r="D89" t="s">
        <v>657</v>
      </c>
      <c r="E89" t="s">
        <v>663</v>
      </c>
      <c r="F89" t="s">
        <v>655</v>
      </c>
      <c r="G89" t="s">
        <v>30</v>
      </c>
      <c r="H89" t="s">
        <v>666</v>
      </c>
      <c r="I89" t="s">
        <v>41</v>
      </c>
      <c r="J89" t="s">
        <v>119</v>
      </c>
      <c r="K89" t="s">
        <v>41</v>
      </c>
      <c r="L89" s="3">
        <v>45854</v>
      </c>
      <c r="M89" t="s">
        <v>36</v>
      </c>
      <c r="P89" t="s">
        <v>119</v>
      </c>
      <c r="Q89" t="s">
        <v>119</v>
      </c>
      <c r="R89" t="s">
        <v>119</v>
      </c>
      <c r="S89" t="s">
        <v>47</v>
      </c>
      <c r="T89" t="s">
        <v>47</v>
      </c>
    </row>
    <row r="90" spans="1:20" x14ac:dyDescent="0.2">
      <c r="A90" t="s">
        <v>594</v>
      </c>
      <c r="B90" t="s">
        <v>803</v>
      </c>
      <c r="C90" t="s">
        <v>804</v>
      </c>
      <c r="D90" t="s">
        <v>657</v>
      </c>
      <c r="E90" t="s">
        <v>663</v>
      </c>
      <c r="F90" t="s">
        <v>655</v>
      </c>
      <c r="G90" t="s">
        <v>30</v>
      </c>
      <c r="H90" t="s">
        <v>667</v>
      </c>
      <c r="I90" t="s">
        <v>41</v>
      </c>
      <c r="J90" t="s">
        <v>119</v>
      </c>
      <c r="K90" t="s">
        <v>41</v>
      </c>
      <c r="L90" s="3">
        <v>45692</v>
      </c>
      <c r="M90" t="s">
        <v>36</v>
      </c>
      <c r="P90" t="s">
        <v>119</v>
      </c>
      <c r="Q90" t="s">
        <v>119</v>
      </c>
      <c r="R90" t="s">
        <v>119</v>
      </c>
      <c r="S90" t="s">
        <v>47</v>
      </c>
      <c r="T90" t="s">
        <v>47</v>
      </c>
    </row>
    <row r="91" spans="1:20" x14ac:dyDescent="0.2">
      <c r="A91" t="s">
        <v>595</v>
      </c>
      <c r="B91" t="s">
        <v>803</v>
      </c>
      <c r="C91" t="s">
        <v>805</v>
      </c>
      <c r="D91" t="s">
        <v>657</v>
      </c>
      <c r="E91" t="s">
        <v>663</v>
      </c>
      <c r="F91" t="s">
        <v>655</v>
      </c>
      <c r="G91" t="s">
        <v>30</v>
      </c>
      <c r="H91" t="s">
        <v>667</v>
      </c>
      <c r="I91" t="s">
        <v>41</v>
      </c>
      <c r="J91" t="s">
        <v>119</v>
      </c>
      <c r="K91" t="s">
        <v>41</v>
      </c>
      <c r="L91" s="3">
        <v>45757</v>
      </c>
      <c r="M91" t="s">
        <v>36</v>
      </c>
      <c r="P91" t="s">
        <v>119</v>
      </c>
      <c r="Q91" t="s">
        <v>119</v>
      </c>
      <c r="R91" t="s">
        <v>119</v>
      </c>
      <c r="S91" t="s">
        <v>47</v>
      </c>
      <c r="T91" t="s">
        <v>47</v>
      </c>
    </row>
    <row r="92" spans="1:20" x14ac:dyDescent="0.2">
      <c r="A92" t="s">
        <v>596</v>
      </c>
      <c r="B92" t="s">
        <v>806</v>
      </c>
      <c r="C92" t="s">
        <v>807</v>
      </c>
      <c r="D92" t="s">
        <v>657</v>
      </c>
      <c r="E92" t="s">
        <v>663</v>
      </c>
      <c r="F92" t="s">
        <v>655</v>
      </c>
      <c r="G92" t="s">
        <v>31</v>
      </c>
      <c r="H92" t="s">
        <v>667</v>
      </c>
      <c r="I92" t="s">
        <v>41</v>
      </c>
      <c r="J92" t="s">
        <v>119</v>
      </c>
      <c r="K92" t="s">
        <v>41</v>
      </c>
      <c r="L92" s="3">
        <v>45866</v>
      </c>
      <c r="M92" t="s">
        <v>37</v>
      </c>
      <c r="P92" t="s">
        <v>119</v>
      </c>
      <c r="Q92" t="s">
        <v>119</v>
      </c>
      <c r="R92" t="s">
        <v>119</v>
      </c>
      <c r="S92" t="s">
        <v>47</v>
      </c>
      <c r="T92" t="s">
        <v>47</v>
      </c>
    </row>
    <row r="93" spans="1:20" x14ac:dyDescent="0.2">
      <c r="A93" t="s">
        <v>597</v>
      </c>
      <c r="B93" t="s">
        <v>808</v>
      </c>
      <c r="C93" t="s">
        <v>809</v>
      </c>
      <c r="D93" t="s">
        <v>657</v>
      </c>
      <c r="E93" t="s">
        <v>663</v>
      </c>
      <c r="F93" t="s">
        <v>655</v>
      </c>
      <c r="G93" t="s">
        <v>30</v>
      </c>
      <c r="H93" t="s">
        <v>666</v>
      </c>
      <c r="I93" t="s">
        <v>41</v>
      </c>
      <c r="J93" t="s">
        <v>119</v>
      </c>
      <c r="K93" t="s">
        <v>41</v>
      </c>
      <c r="L93" s="3">
        <v>45797</v>
      </c>
      <c r="M93" t="s">
        <v>131</v>
      </c>
      <c r="P93" t="s">
        <v>119</v>
      </c>
      <c r="Q93" t="s">
        <v>94</v>
      </c>
      <c r="R93" t="s">
        <v>119</v>
      </c>
      <c r="S93" t="s">
        <v>47</v>
      </c>
      <c r="T93" t="s">
        <v>47</v>
      </c>
    </row>
    <row r="94" spans="1:20" x14ac:dyDescent="0.2">
      <c r="A94" t="s">
        <v>598</v>
      </c>
      <c r="B94" t="s">
        <v>810</v>
      </c>
      <c r="C94" t="s">
        <v>811</v>
      </c>
      <c r="D94" t="s">
        <v>657</v>
      </c>
      <c r="E94" t="s">
        <v>663</v>
      </c>
      <c r="F94" t="s">
        <v>655</v>
      </c>
      <c r="G94" t="s">
        <v>30</v>
      </c>
      <c r="H94" t="s">
        <v>667</v>
      </c>
      <c r="I94" t="s">
        <v>41</v>
      </c>
      <c r="J94" t="s">
        <v>119</v>
      </c>
      <c r="K94" t="s">
        <v>41</v>
      </c>
      <c r="L94" s="3">
        <v>45843</v>
      </c>
      <c r="M94" t="s">
        <v>37</v>
      </c>
      <c r="P94" t="s">
        <v>119</v>
      </c>
      <c r="Q94" t="s">
        <v>119</v>
      </c>
      <c r="R94" t="s">
        <v>119</v>
      </c>
      <c r="S94" t="s">
        <v>47</v>
      </c>
      <c r="T94" t="s">
        <v>47</v>
      </c>
    </row>
    <row r="95" spans="1:20" x14ac:dyDescent="0.2">
      <c r="A95" t="s">
        <v>599</v>
      </c>
      <c r="B95" t="s">
        <v>803</v>
      </c>
      <c r="C95" t="s">
        <v>812</v>
      </c>
      <c r="D95" t="s">
        <v>657</v>
      </c>
      <c r="E95" t="s">
        <v>663</v>
      </c>
      <c r="F95" t="s">
        <v>655</v>
      </c>
      <c r="G95" t="s">
        <v>30</v>
      </c>
      <c r="H95" t="s">
        <v>667</v>
      </c>
      <c r="I95" t="s">
        <v>41</v>
      </c>
      <c r="J95" t="s">
        <v>119</v>
      </c>
      <c r="K95" t="s">
        <v>41</v>
      </c>
      <c r="L95" s="3">
        <v>45915</v>
      </c>
      <c r="M95" t="s">
        <v>36</v>
      </c>
      <c r="P95" t="s">
        <v>119</v>
      </c>
      <c r="Q95" t="s">
        <v>119</v>
      </c>
      <c r="R95" t="s">
        <v>119</v>
      </c>
      <c r="S95" t="s">
        <v>47</v>
      </c>
      <c r="T95" t="s">
        <v>47</v>
      </c>
    </row>
    <row r="96" spans="1:20" x14ac:dyDescent="0.2">
      <c r="A96" t="s">
        <v>600</v>
      </c>
      <c r="B96" t="s">
        <v>813</v>
      </c>
      <c r="C96" t="s">
        <v>814</v>
      </c>
      <c r="D96" t="s">
        <v>657</v>
      </c>
      <c r="E96" t="s">
        <v>663</v>
      </c>
      <c r="F96" t="s">
        <v>655</v>
      </c>
      <c r="G96" t="s">
        <v>32</v>
      </c>
      <c r="H96" t="s">
        <v>667</v>
      </c>
      <c r="I96" t="s">
        <v>41</v>
      </c>
      <c r="J96" t="s">
        <v>119</v>
      </c>
      <c r="K96" t="s">
        <v>41</v>
      </c>
      <c r="L96" s="3">
        <v>45982</v>
      </c>
      <c r="M96" t="s">
        <v>37</v>
      </c>
      <c r="P96" t="s">
        <v>119</v>
      </c>
      <c r="Q96" t="s">
        <v>119</v>
      </c>
      <c r="R96" t="s">
        <v>119</v>
      </c>
      <c r="S96" t="s">
        <v>47</v>
      </c>
      <c r="T96" t="s">
        <v>47</v>
      </c>
    </row>
    <row r="97" spans="1:20" x14ac:dyDescent="0.2">
      <c r="A97" t="s">
        <v>601</v>
      </c>
      <c r="B97" t="s">
        <v>815</v>
      </c>
      <c r="C97" t="s">
        <v>816</v>
      </c>
      <c r="D97" t="s">
        <v>146</v>
      </c>
      <c r="E97" t="s">
        <v>158</v>
      </c>
      <c r="F97" t="s">
        <v>28</v>
      </c>
      <c r="G97" t="s">
        <v>31</v>
      </c>
      <c r="H97" t="s">
        <v>257</v>
      </c>
      <c r="I97" t="s">
        <v>41</v>
      </c>
      <c r="J97" t="s">
        <v>119</v>
      </c>
      <c r="K97" t="s">
        <v>41</v>
      </c>
      <c r="L97" s="3">
        <v>45665</v>
      </c>
      <c r="M97" t="s">
        <v>36</v>
      </c>
      <c r="P97" t="s">
        <v>119</v>
      </c>
      <c r="Q97" t="s">
        <v>119</v>
      </c>
      <c r="R97" t="s">
        <v>119</v>
      </c>
      <c r="S97" t="s">
        <v>47</v>
      </c>
      <c r="T97" t="s">
        <v>47</v>
      </c>
    </row>
    <row r="98" spans="1:20" x14ac:dyDescent="0.2">
      <c r="A98" t="s">
        <v>602</v>
      </c>
      <c r="B98" t="s">
        <v>817</v>
      </c>
      <c r="C98" t="s">
        <v>818</v>
      </c>
      <c r="D98" t="s">
        <v>146</v>
      </c>
      <c r="E98" t="s">
        <v>158</v>
      </c>
      <c r="F98" t="s">
        <v>28</v>
      </c>
      <c r="G98" t="s">
        <v>31</v>
      </c>
      <c r="H98" t="s">
        <v>173</v>
      </c>
      <c r="I98" t="s">
        <v>0</v>
      </c>
      <c r="J98" t="s">
        <v>119</v>
      </c>
      <c r="K98" t="s">
        <v>41</v>
      </c>
      <c r="L98" s="3">
        <v>45925</v>
      </c>
      <c r="M98" t="s">
        <v>37</v>
      </c>
      <c r="P98" t="s">
        <v>119</v>
      </c>
      <c r="Q98" t="s">
        <v>119</v>
      </c>
      <c r="R98" t="s">
        <v>119</v>
      </c>
      <c r="S98" t="s">
        <v>47</v>
      </c>
      <c r="T98" t="s">
        <v>47</v>
      </c>
    </row>
    <row r="99" spans="1:20" x14ac:dyDescent="0.2">
      <c r="A99" t="s">
        <v>603</v>
      </c>
      <c r="B99" t="s">
        <v>819</v>
      </c>
      <c r="C99" t="s">
        <v>820</v>
      </c>
      <c r="D99" t="s">
        <v>146</v>
      </c>
      <c r="E99" t="s">
        <v>158</v>
      </c>
      <c r="F99" t="s">
        <v>28</v>
      </c>
      <c r="G99" t="s">
        <v>30</v>
      </c>
      <c r="H99" t="s">
        <v>182</v>
      </c>
      <c r="I99" t="s">
        <v>0</v>
      </c>
      <c r="J99" t="s">
        <v>119</v>
      </c>
      <c r="K99" t="s">
        <v>41</v>
      </c>
      <c r="L99" s="3">
        <v>45844</v>
      </c>
      <c r="M99" t="s">
        <v>36</v>
      </c>
      <c r="P99" t="s">
        <v>119</v>
      </c>
      <c r="Q99" t="s">
        <v>119</v>
      </c>
      <c r="R99" t="s">
        <v>119</v>
      </c>
      <c r="S99" t="s">
        <v>47</v>
      </c>
      <c r="T99" t="s">
        <v>47</v>
      </c>
    </row>
    <row r="100" spans="1:20" x14ac:dyDescent="0.2">
      <c r="A100" t="s">
        <v>604</v>
      </c>
      <c r="B100" t="s">
        <v>821</v>
      </c>
      <c r="C100" t="s">
        <v>822</v>
      </c>
      <c r="D100" t="s">
        <v>146</v>
      </c>
      <c r="E100" t="s">
        <v>158</v>
      </c>
      <c r="F100" t="s">
        <v>28</v>
      </c>
      <c r="G100" t="s">
        <v>30</v>
      </c>
      <c r="H100" t="s">
        <v>187</v>
      </c>
      <c r="I100" t="s">
        <v>0</v>
      </c>
      <c r="J100" t="s">
        <v>119</v>
      </c>
      <c r="K100" t="s">
        <v>41</v>
      </c>
      <c r="L100" s="3">
        <v>45735</v>
      </c>
      <c r="M100" t="s">
        <v>36</v>
      </c>
      <c r="P100" t="s">
        <v>119</v>
      </c>
      <c r="Q100" t="s">
        <v>119</v>
      </c>
      <c r="R100" t="s">
        <v>119</v>
      </c>
      <c r="S100" t="s">
        <v>47</v>
      </c>
      <c r="T100" t="s">
        <v>47</v>
      </c>
    </row>
    <row r="101" spans="1:20" x14ac:dyDescent="0.2">
      <c r="A101" t="s">
        <v>605</v>
      </c>
      <c r="B101" t="s">
        <v>823</v>
      </c>
      <c r="C101" t="s">
        <v>824</v>
      </c>
      <c r="D101" t="s">
        <v>146</v>
      </c>
      <c r="E101" t="s">
        <v>158</v>
      </c>
      <c r="F101" t="s">
        <v>28</v>
      </c>
      <c r="G101" t="s">
        <v>31</v>
      </c>
      <c r="H101" t="s">
        <v>273</v>
      </c>
      <c r="I101" t="s">
        <v>0</v>
      </c>
      <c r="J101" t="s">
        <v>119</v>
      </c>
      <c r="K101" t="s">
        <v>41</v>
      </c>
      <c r="L101" s="3">
        <v>45965</v>
      </c>
      <c r="M101" t="s">
        <v>36</v>
      </c>
      <c r="P101" t="s">
        <v>119</v>
      </c>
      <c r="Q101" t="s">
        <v>119</v>
      </c>
      <c r="R101" t="s">
        <v>94</v>
      </c>
      <c r="S101" t="s">
        <v>47</v>
      </c>
      <c r="T101" t="s">
        <v>47</v>
      </c>
    </row>
    <row r="102" spans="1:20" x14ac:dyDescent="0.2">
      <c r="A102" t="s">
        <v>606</v>
      </c>
      <c r="B102" t="s">
        <v>825</v>
      </c>
      <c r="C102" t="s">
        <v>826</v>
      </c>
      <c r="D102" t="s">
        <v>146</v>
      </c>
      <c r="E102" t="s">
        <v>158</v>
      </c>
      <c r="F102" t="s">
        <v>28</v>
      </c>
      <c r="G102" t="s">
        <v>33</v>
      </c>
      <c r="H102" t="s">
        <v>250</v>
      </c>
      <c r="I102" t="s">
        <v>0</v>
      </c>
      <c r="J102" t="s">
        <v>119</v>
      </c>
      <c r="K102" t="s">
        <v>41</v>
      </c>
      <c r="L102" s="3">
        <v>45858</v>
      </c>
      <c r="M102" t="s">
        <v>37</v>
      </c>
      <c r="P102" t="s">
        <v>119</v>
      </c>
      <c r="Q102" t="s">
        <v>119</v>
      </c>
      <c r="R102" t="s">
        <v>119</v>
      </c>
      <c r="S102" t="s">
        <v>47</v>
      </c>
      <c r="T102" t="s">
        <v>47</v>
      </c>
    </row>
    <row r="103" spans="1:20" x14ac:dyDescent="0.2">
      <c r="A103" t="s">
        <v>607</v>
      </c>
      <c r="B103" t="s">
        <v>825</v>
      </c>
      <c r="C103" t="s">
        <v>827</v>
      </c>
      <c r="D103" t="s">
        <v>146</v>
      </c>
      <c r="E103" t="s">
        <v>158</v>
      </c>
      <c r="F103" t="s">
        <v>28</v>
      </c>
      <c r="G103" t="s">
        <v>33</v>
      </c>
      <c r="H103" t="s">
        <v>250</v>
      </c>
      <c r="I103" t="s">
        <v>0</v>
      </c>
      <c r="J103" t="s">
        <v>119</v>
      </c>
      <c r="K103" t="s">
        <v>41</v>
      </c>
      <c r="L103" s="3">
        <v>45836</v>
      </c>
      <c r="M103" t="s">
        <v>37</v>
      </c>
      <c r="P103" t="s">
        <v>119</v>
      </c>
      <c r="Q103" t="s">
        <v>119</v>
      </c>
      <c r="R103" t="s">
        <v>119</v>
      </c>
      <c r="S103" t="s">
        <v>47</v>
      </c>
      <c r="T103" t="s">
        <v>47</v>
      </c>
    </row>
    <row r="104" spans="1:20" x14ac:dyDescent="0.2">
      <c r="A104" t="s">
        <v>608</v>
      </c>
      <c r="B104" t="s">
        <v>828</v>
      </c>
      <c r="C104" t="s">
        <v>829</v>
      </c>
      <c r="D104" t="s">
        <v>146</v>
      </c>
      <c r="E104" t="s">
        <v>158</v>
      </c>
      <c r="F104" t="s">
        <v>28</v>
      </c>
      <c r="G104" t="s">
        <v>31</v>
      </c>
      <c r="H104" t="s">
        <v>182</v>
      </c>
      <c r="I104" t="s">
        <v>0</v>
      </c>
      <c r="J104" t="s">
        <v>119</v>
      </c>
      <c r="K104" t="s">
        <v>41</v>
      </c>
      <c r="L104" s="3">
        <v>45800</v>
      </c>
      <c r="M104" t="s">
        <v>37</v>
      </c>
      <c r="P104" t="s">
        <v>119</v>
      </c>
      <c r="Q104" t="s">
        <v>119</v>
      </c>
      <c r="R104" t="s">
        <v>119</v>
      </c>
      <c r="S104" t="s">
        <v>47</v>
      </c>
      <c r="T104" t="s">
        <v>47</v>
      </c>
    </row>
    <row r="105" spans="1:20" x14ac:dyDescent="0.2">
      <c r="A105" t="s">
        <v>609</v>
      </c>
      <c r="B105" t="s">
        <v>821</v>
      </c>
      <c r="C105" t="s">
        <v>830</v>
      </c>
      <c r="D105" t="s">
        <v>146</v>
      </c>
      <c r="E105" t="s">
        <v>158</v>
      </c>
      <c r="F105" t="s">
        <v>28</v>
      </c>
      <c r="G105" t="s">
        <v>30</v>
      </c>
      <c r="H105" t="s">
        <v>187</v>
      </c>
      <c r="I105" t="s">
        <v>0</v>
      </c>
      <c r="J105" t="s">
        <v>119</v>
      </c>
      <c r="K105" t="s">
        <v>41</v>
      </c>
      <c r="L105" s="3">
        <v>46012</v>
      </c>
      <c r="M105" t="s">
        <v>36</v>
      </c>
      <c r="P105" t="s">
        <v>119</v>
      </c>
      <c r="Q105" t="s">
        <v>119</v>
      </c>
      <c r="R105" t="s">
        <v>119</v>
      </c>
      <c r="S105" t="s">
        <v>47</v>
      </c>
      <c r="T105" t="s">
        <v>47</v>
      </c>
    </row>
    <row r="106" spans="1:20" x14ac:dyDescent="0.2">
      <c r="A106" t="s">
        <v>610</v>
      </c>
      <c r="B106" t="s">
        <v>831</v>
      </c>
      <c r="C106" t="s">
        <v>832</v>
      </c>
      <c r="D106" t="s">
        <v>146</v>
      </c>
      <c r="E106" t="s">
        <v>158</v>
      </c>
      <c r="F106" t="s">
        <v>28</v>
      </c>
      <c r="G106" t="s">
        <v>31</v>
      </c>
      <c r="H106" t="s">
        <v>273</v>
      </c>
      <c r="I106" t="s">
        <v>0</v>
      </c>
      <c r="J106" t="s">
        <v>119</v>
      </c>
      <c r="K106" t="s">
        <v>41</v>
      </c>
      <c r="L106" s="3">
        <v>45912</v>
      </c>
      <c r="M106" t="s">
        <v>131</v>
      </c>
      <c r="P106" t="s">
        <v>119</v>
      </c>
      <c r="Q106" t="s">
        <v>94</v>
      </c>
      <c r="R106" t="s">
        <v>94</v>
      </c>
      <c r="S106" t="s">
        <v>47</v>
      </c>
      <c r="T106" t="s">
        <v>47</v>
      </c>
    </row>
    <row r="107" spans="1:20" x14ac:dyDescent="0.2">
      <c r="A107" t="s">
        <v>611</v>
      </c>
      <c r="B107" t="s">
        <v>833</v>
      </c>
      <c r="C107" t="s">
        <v>834</v>
      </c>
      <c r="D107" t="s">
        <v>146</v>
      </c>
      <c r="E107" t="s">
        <v>158</v>
      </c>
      <c r="F107" t="s">
        <v>28</v>
      </c>
      <c r="G107" t="s">
        <v>34</v>
      </c>
      <c r="H107" t="s">
        <v>173</v>
      </c>
      <c r="I107" t="s">
        <v>0</v>
      </c>
      <c r="J107" t="s">
        <v>119</v>
      </c>
      <c r="K107" t="s">
        <v>41</v>
      </c>
      <c r="L107" s="3">
        <v>45826</v>
      </c>
      <c r="M107" t="s">
        <v>36</v>
      </c>
      <c r="P107" t="s">
        <v>119</v>
      </c>
      <c r="Q107" t="s">
        <v>119</v>
      </c>
      <c r="R107" t="s">
        <v>119</v>
      </c>
      <c r="S107" t="s">
        <v>47</v>
      </c>
      <c r="T107" t="s">
        <v>47</v>
      </c>
    </row>
    <row r="108" spans="1:20" x14ac:dyDescent="0.2">
      <c r="A108" t="s">
        <v>612</v>
      </c>
      <c r="B108" t="s">
        <v>835</v>
      </c>
      <c r="C108" t="s">
        <v>836</v>
      </c>
      <c r="D108" t="s">
        <v>146</v>
      </c>
      <c r="E108" t="s">
        <v>158</v>
      </c>
      <c r="F108" t="s">
        <v>28</v>
      </c>
      <c r="G108" t="s">
        <v>159</v>
      </c>
      <c r="H108" t="s">
        <v>187</v>
      </c>
      <c r="I108" t="s">
        <v>0</v>
      </c>
      <c r="J108" t="s">
        <v>119</v>
      </c>
      <c r="K108" t="s">
        <v>41</v>
      </c>
      <c r="L108" s="3">
        <v>45769</v>
      </c>
      <c r="M108" t="s">
        <v>131</v>
      </c>
      <c r="P108" t="s">
        <v>119</v>
      </c>
      <c r="Q108" t="s">
        <v>94</v>
      </c>
      <c r="R108" t="s">
        <v>119</v>
      </c>
      <c r="S108" t="s">
        <v>47</v>
      </c>
      <c r="T108" t="s">
        <v>47</v>
      </c>
    </row>
    <row r="109" spans="1:20" x14ac:dyDescent="0.2">
      <c r="A109" t="s">
        <v>613</v>
      </c>
      <c r="B109" t="s">
        <v>837</v>
      </c>
      <c r="C109" t="s">
        <v>838</v>
      </c>
      <c r="D109" t="s">
        <v>656</v>
      </c>
      <c r="E109" t="s">
        <v>662</v>
      </c>
      <c r="F109" t="s">
        <v>27</v>
      </c>
      <c r="G109" t="s">
        <v>159</v>
      </c>
      <c r="H109" t="s">
        <v>668</v>
      </c>
      <c r="I109" t="s">
        <v>41</v>
      </c>
      <c r="J109" t="s">
        <v>119</v>
      </c>
      <c r="K109" t="s">
        <v>41</v>
      </c>
      <c r="L109" s="3">
        <v>46000</v>
      </c>
      <c r="M109" t="s">
        <v>36</v>
      </c>
      <c r="P109" t="s">
        <v>119</v>
      </c>
      <c r="Q109" t="s">
        <v>119</v>
      </c>
      <c r="R109" t="s">
        <v>119</v>
      </c>
      <c r="S109" t="s">
        <v>47</v>
      </c>
      <c r="T109" t="s">
        <v>47</v>
      </c>
    </row>
    <row r="110" spans="1:20" x14ac:dyDescent="0.2">
      <c r="A110" t="s">
        <v>614</v>
      </c>
      <c r="B110" t="s">
        <v>839</v>
      </c>
      <c r="C110" t="s">
        <v>840</v>
      </c>
      <c r="D110" t="s">
        <v>656</v>
      </c>
      <c r="E110" t="s">
        <v>662</v>
      </c>
      <c r="F110" t="s">
        <v>27</v>
      </c>
      <c r="G110" t="s">
        <v>159</v>
      </c>
      <c r="H110" t="s">
        <v>668</v>
      </c>
      <c r="I110" t="s">
        <v>41</v>
      </c>
      <c r="J110" t="s">
        <v>119</v>
      </c>
      <c r="K110" t="s">
        <v>41</v>
      </c>
      <c r="L110" s="3">
        <v>45949</v>
      </c>
      <c r="M110" t="s">
        <v>37</v>
      </c>
      <c r="P110" t="s">
        <v>119</v>
      </c>
      <c r="Q110" t="s">
        <v>119</v>
      </c>
      <c r="R110" t="s">
        <v>119</v>
      </c>
      <c r="S110" t="s">
        <v>47</v>
      </c>
      <c r="T110" t="s">
        <v>47</v>
      </c>
    </row>
    <row r="111" spans="1:20" x14ac:dyDescent="0.2">
      <c r="A111" t="s">
        <v>615</v>
      </c>
      <c r="B111" t="s">
        <v>841</v>
      </c>
      <c r="C111" t="s">
        <v>842</v>
      </c>
      <c r="D111" t="s">
        <v>656</v>
      </c>
      <c r="E111" t="s">
        <v>662</v>
      </c>
      <c r="F111" t="s">
        <v>27</v>
      </c>
      <c r="G111" t="s">
        <v>30</v>
      </c>
      <c r="H111" t="s">
        <v>668</v>
      </c>
      <c r="I111" t="s">
        <v>41</v>
      </c>
      <c r="J111" t="s">
        <v>119</v>
      </c>
      <c r="K111" t="s">
        <v>41</v>
      </c>
      <c r="L111" s="3">
        <v>45676</v>
      </c>
      <c r="M111" t="s">
        <v>36</v>
      </c>
      <c r="P111" t="s">
        <v>119</v>
      </c>
      <c r="Q111" t="s">
        <v>119</v>
      </c>
      <c r="R111" t="s">
        <v>119</v>
      </c>
      <c r="S111" t="s">
        <v>47</v>
      </c>
      <c r="T111" t="s">
        <v>47</v>
      </c>
    </row>
    <row r="112" spans="1:20" x14ac:dyDescent="0.2">
      <c r="A112" t="s">
        <v>616</v>
      </c>
      <c r="B112" t="s">
        <v>841</v>
      </c>
      <c r="C112" t="s">
        <v>843</v>
      </c>
      <c r="D112" t="s">
        <v>656</v>
      </c>
      <c r="E112" t="s">
        <v>662</v>
      </c>
      <c r="F112" t="s">
        <v>27</v>
      </c>
      <c r="G112" t="s">
        <v>30</v>
      </c>
      <c r="H112" t="s">
        <v>668</v>
      </c>
      <c r="I112" t="s">
        <v>41</v>
      </c>
      <c r="J112" t="s">
        <v>94</v>
      </c>
      <c r="K112" t="s">
        <v>42</v>
      </c>
      <c r="L112" s="3">
        <v>45724</v>
      </c>
      <c r="M112" t="s">
        <v>36</v>
      </c>
      <c r="P112" t="s">
        <v>119</v>
      </c>
      <c r="Q112" t="s">
        <v>119</v>
      </c>
      <c r="R112" t="s">
        <v>119</v>
      </c>
      <c r="S112" t="s">
        <v>47</v>
      </c>
      <c r="T112" t="s">
        <v>47</v>
      </c>
    </row>
    <row r="113" spans="1:20" x14ac:dyDescent="0.2">
      <c r="A113" t="s">
        <v>617</v>
      </c>
      <c r="B113" t="s">
        <v>841</v>
      </c>
      <c r="C113" t="s">
        <v>844</v>
      </c>
      <c r="D113" t="s">
        <v>656</v>
      </c>
      <c r="E113" t="s">
        <v>662</v>
      </c>
      <c r="F113" t="s">
        <v>27</v>
      </c>
      <c r="G113" t="s">
        <v>30</v>
      </c>
      <c r="H113" t="s">
        <v>668</v>
      </c>
      <c r="I113" t="s">
        <v>41</v>
      </c>
      <c r="J113" t="s">
        <v>94</v>
      </c>
      <c r="K113" t="s">
        <v>42</v>
      </c>
      <c r="L113" s="3">
        <v>45723</v>
      </c>
      <c r="M113" t="s">
        <v>36</v>
      </c>
      <c r="P113" t="s">
        <v>119</v>
      </c>
      <c r="Q113" t="s">
        <v>119</v>
      </c>
      <c r="R113" t="s">
        <v>119</v>
      </c>
      <c r="S113" t="s">
        <v>47</v>
      </c>
      <c r="T113" t="s">
        <v>47</v>
      </c>
    </row>
    <row r="114" spans="1:20" x14ac:dyDescent="0.2">
      <c r="A114" t="s">
        <v>618</v>
      </c>
      <c r="B114" t="s">
        <v>845</v>
      </c>
      <c r="C114" t="s">
        <v>846</v>
      </c>
      <c r="D114" t="s">
        <v>656</v>
      </c>
      <c r="E114" t="s">
        <v>662</v>
      </c>
      <c r="F114" t="s">
        <v>27</v>
      </c>
      <c r="G114" t="s">
        <v>30</v>
      </c>
      <c r="H114" t="s">
        <v>668</v>
      </c>
      <c r="I114" t="s">
        <v>41</v>
      </c>
      <c r="J114" t="s">
        <v>94</v>
      </c>
      <c r="K114" t="s">
        <v>42</v>
      </c>
      <c r="L114" s="3">
        <v>45665</v>
      </c>
      <c r="M114" t="s">
        <v>37</v>
      </c>
      <c r="P114" t="s">
        <v>119</v>
      </c>
      <c r="Q114" t="s">
        <v>119</v>
      </c>
      <c r="R114" t="s">
        <v>119</v>
      </c>
      <c r="S114" t="s">
        <v>47</v>
      </c>
      <c r="T114" t="s">
        <v>47</v>
      </c>
    </row>
    <row r="115" spans="1:20" x14ac:dyDescent="0.2">
      <c r="A115" t="s">
        <v>619</v>
      </c>
      <c r="B115" t="s">
        <v>847</v>
      </c>
      <c r="C115" t="s">
        <v>848</v>
      </c>
      <c r="D115" t="s">
        <v>656</v>
      </c>
      <c r="E115" t="s">
        <v>662</v>
      </c>
      <c r="F115" t="s">
        <v>27</v>
      </c>
      <c r="G115" t="s">
        <v>30</v>
      </c>
      <c r="H115" t="s">
        <v>668</v>
      </c>
      <c r="I115" t="s">
        <v>41</v>
      </c>
      <c r="J115" t="s">
        <v>94</v>
      </c>
      <c r="K115" t="s">
        <v>42</v>
      </c>
      <c r="L115" s="3">
        <v>45661</v>
      </c>
      <c r="M115" t="s">
        <v>131</v>
      </c>
      <c r="P115" t="s">
        <v>119</v>
      </c>
      <c r="Q115" t="s">
        <v>94</v>
      </c>
      <c r="R115" t="s">
        <v>119</v>
      </c>
      <c r="S115" t="s">
        <v>47</v>
      </c>
      <c r="T115" t="s">
        <v>47</v>
      </c>
    </row>
    <row r="116" spans="1:20" x14ac:dyDescent="0.2">
      <c r="A116" t="s">
        <v>620</v>
      </c>
      <c r="B116" t="s">
        <v>849</v>
      </c>
      <c r="C116" t="s">
        <v>850</v>
      </c>
      <c r="D116" t="s">
        <v>656</v>
      </c>
      <c r="E116" t="s">
        <v>662</v>
      </c>
      <c r="F116" t="s">
        <v>27</v>
      </c>
      <c r="G116" t="s">
        <v>31</v>
      </c>
      <c r="H116" t="s">
        <v>668</v>
      </c>
      <c r="I116" t="s">
        <v>41</v>
      </c>
      <c r="J116" t="s">
        <v>94</v>
      </c>
      <c r="K116" t="s">
        <v>42</v>
      </c>
      <c r="L116" s="3">
        <v>45855</v>
      </c>
      <c r="M116" t="s">
        <v>37</v>
      </c>
      <c r="P116" t="s">
        <v>119</v>
      </c>
      <c r="Q116" t="s">
        <v>119</v>
      </c>
      <c r="R116" t="s">
        <v>119</v>
      </c>
      <c r="S116" t="s">
        <v>47</v>
      </c>
      <c r="T116" t="s">
        <v>47</v>
      </c>
    </row>
    <row r="117" spans="1:20" x14ac:dyDescent="0.2">
      <c r="A117" t="s">
        <v>621</v>
      </c>
      <c r="B117" t="s">
        <v>841</v>
      </c>
      <c r="C117" t="s">
        <v>851</v>
      </c>
      <c r="D117" t="s">
        <v>656</v>
      </c>
      <c r="E117" t="s">
        <v>662</v>
      </c>
      <c r="F117" t="s">
        <v>27</v>
      </c>
      <c r="G117" t="s">
        <v>30</v>
      </c>
      <c r="H117" t="s">
        <v>668</v>
      </c>
      <c r="I117" t="s">
        <v>41</v>
      </c>
      <c r="J117" t="s">
        <v>119</v>
      </c>
      <c r="K117" t="s">
        <v>41</v>
      </c>
      <c r="L117" s="3">
        <v>45731</v>
      </c>
      <c r="M117" t="s">
        <v>36</v>
      </c>
      <c r="P117" t="s">
        <v>119</v>
      </c>
      <c r="Q117" t="s">
        <v>119</v>
      </c>
      <c r="R117" t="s">
        <v>119</v>
      </c>
      <c r="S117" t="s">
        <v>47</v>
      </c>
      <c r="T117" t="s">
        <v>47</v>
      </c>
    </row>
    <row r="118" spans="1:20" x14ac:dyDescent="0.2">
      <c r="A118" t="s">
        <v>622</v>
      </c>
      <c r="B118" t="s">
        <v>845</v>
      </c>
      <c r="C118" t="s">
        <v>852</v>
      </c>
      <c r="D118" t="s">
        <v>656</v>
      </c>
      <c r="E118" t="s">
        <v>662</v>
      </c>
      <c r="F118" t="s">
        <v>27</v>
      </c>
      <c r="G118" t="s">
        <v>30</v>
      </c>
      <c r="H118" t="s">
        <v>668</v>
      </c>
      <c r="I118" t="s">
        <v>41</v>
      </c>
      <c r="J118" t="s">
        <v>119</v>
      </c>
      <c r="K118" t="s">
        <v>41</v>
      </c>
      <c r="L118" s="3">
        <v>45970</v>
      </c>
      <c r="M118" t="s">
        <v>37</v>
      </c>
      <c r="P118" t="s">
        <v>119</v>
      </c>
      <c r="Q118" t="s">
        <v>119</v>
      </c>
      <c r="R118" t="s">
        <v>119</v>
      </c>
      <c r="S118" t="s">
        <v>47</v>
      </c>
      <c r="T118" t="s">
        <v>47</v>
      </c>
    </row>
    <row r="119" spans="1:20" x14ac:dyDescent="0.2">
      <c r="A119" t="s">
        <v>623</v>
      </c>
      <c r="B119" t="s">
        <v>853</v>
      </c>
      <c r="C119" t="s">
        <v>854</v>
      </c>
      <c r="D119" t="s">
        <v>656</v>
      </c>
      <c r="E119" t="s">
        <v>662</v>
      </c>
      <c r="F119" t="s">
        <v>27</v>
      </c>
      <c r="G119" t="s">
        <v>30</v>
      </c>
      <c r="H119" t="s">
        <v>669</v>
      </c>
      <c r="I119" t="s">
        <v>41</v>
      </c>
      <c r="J119" t="s">
        <v>119</v>
      </c>
      <c r="K119" t="s">
        <v>41</v>
      </c>
      <c r="L119" s="3">
        <v>45787</v>
      </c>
      <c r="M119" t="s">
        <v>36</v>
      </c>
      <c r="P119" t="s">
        <v>119</v>
      </c>
      <c r="Q119" t="s">
        <v>119</v>
      </c>
      <c r="R119" t="s">
        <v>119</v>
      </c>
      <c r="S119" t="s">
        <v>47</v>
      </c>
      <c r="T119" t="s">
        <v>47</v>
      </c>
    </row>
    <row r="120" spans="1:20" x14ac:dyDescent="0.2">
      <c r="A120" t="s">
        <v>624</v>
      </c>
      <c r="B120" t="s">
        <v>855</v>
      </c>
      <c r="C120" t="s">
        <v>856</v>
      </c>
      <c r="D120" t="s">
        <v>656</v>
      </c>
      <c r="E120" t="s">
        <v>662</v>
      </c>
      <c r="F120" t="s">
        <v>27</v>
      </c>
      <c r="G120" t="s">
        <v>30</v>
      </c>
      <c r="H120" t="s">
        <v>670</v>
      </c>
      <c r="I120" t="s">
        <v>41</v>
      </c>
      <c r="J120" t="s">
        <v>119</v>
      </c>
      <c r="K120" t="s">
        <v>41</v>
      </c>
      <c r="L120" s="3">
        <v>45870</v>
      </c>
      <c r="M120" t="s">
        <v>37</v>
      </c>
      <c r="P120" t="s">
        <v>119</v>
      </c>
      <c r="Q120" t="s">
        <v>119</v>
      </c>
      <c r="R120" t="s">
        <v>119</v>
      </c>
      <c r="S120" t="s">
        <v>47</v>
      </c>
      <c r="T120" t="s">
        <v>47</v>
      </c>
    </row>
    <row r="121" spans="1:20" x14ac:dyDescent="0.2">
      <c r="A121" t="s">
        <v>625</v>
      </c>
      <c r="B121" t="s">
        <v>857</v>
      </c>
      <c r="C121" t="s">
        <v>858</v>
      </c>
      <c r="D121" t="s">
        <v>656</v>
      </c>
      <c r="E121" t="s">
        <v>662</v>
      </c>
      <c r="F121" t="s">
        <v>27</v>
      </c>
      <c r="G121" t="s">
        <v>31</v>
      </c>
      <c r="H121" t="s">
        <v>671</v>
      </c>
      <c r="I121" t="s">
        <v>41</v>
      </c>
      <c r="J121" t="s">
        <v>119</v>
      </c>
      <c r="K121" t="s">
        <v>41</v>
      </c>
      <c r="L121" s="3">
        <v>46015</v>
      </c>
      <c r="M121" t="s">
        <v>37</v>
      </c>
      <c r="P121" t="s">
        <v>119</v>
      </c>
      <c r="Q121" t="s">
        <v>119</v>
      </c>
      <c r="R121" t="s">
        <v>119</v>
      </c>
      <c r="S121" t="s">
        <v>47</v>
      </c>
      <c r="T121" t="s">
        <v>47</v>
      </c>
    </row>
    <row r="122" spans="1:20" x14ac:dyDescent="0.2">
      <c r="A122" t="s">
        <v>626</v>
      </c>
      <c r="B122" t="s">
        <v>859</v>
      </c>
      <c r="C122" t="s">
        <v>860</v>
      </c>
      <c r="D122" t="s">
        <v>656</v>
      </c>
      <c r="E122" t="s">
        <v>662</v>
      </c>
      <c r="F122" t="s">
        <v>27</v>
      </c>
      <c r="G122" t="s">
        <v>31</v>
      </c>
      <c r="H122" t="s">
        <v>671</v>
      </c>
      <c r="I122" t="s">
        <v>41</v>
      </c>
      <c r="J122" t="s">
        <v>119</v>
      </c>
      <c r="K122" t="s">
        <v>41</v>
      </c>
      <c r="L122" s="3">
        <v>45984</v>
      </c>
      <c r="M122" t="s">
        <v>36</v>
      </c>
      <c r="P122" t="s">
        <v>119</v>
      </c>
      <c r="Q122" t="s">
        <v>119</v>
      </c>
      <c r="R122" t="s">
        <v>119</v>
      </c>
      <c r="S122" t="s">
        <v>47</v>
      </c>
      <c r="T122" t="s">
        <v>47</v>
      </c>
    </row>
    <row r="123" spans="1:20" x14ac:dyDescent="0.2">
      <c r="A123" t="s">
        <v>627</v>
      </c>
      <c r="B123" t="s">
        <v>861</v>
      </c>
      <c r="C123" t="s">
        <v>862</v>
      </c>
      <c r="D123" t="s">
        <v>656</v>
      </c>
      <c r="E123" t="s">
        <v>662</v>
      </c>
      <c r="F123" t="s">
        <v>27</v>
      </c>
      <c r="G123" t="s">
        <v>159</v>
      </c>
      <c r="H123" t="s">
        <v>671</v>
      </c>
      <c r="I123" t="s">
        <v>41</v>
      </c>
      <c r="J123" t="s">
        <v>119</v>
      </c>
      <c r="K123" t="s">
        <v>41</v>
      </c>
      <c r="L123" s="3">
        <v>45811</v>
      </c>
      <c r="M123" t="s">
        <v>36</v>
      </c>
      <c r="P123" t="s">
        <v>119</v>
      </c>
      <c r="Q123" t="s">
        <v>119</v>
      </c>
      <c r="R123" t="s">
        <v>119</v>
      </c>
      <c r="S123" t="s">
        <v>47</v>
      </c>
      <c r="T123" t="s">
        <v>47</v>
      </c>
    </row>
    <row r="124" spans="1:20" x14ac:dyDescent="0.2">
      <c r="A124" t="s">
        <v>628</v>
      </c>
      <c r="B124" t="s">
        <v>861</v>
      </c>
      <c r="C124" t="s">
        <v>863</v>
      </c>
      <c r="D124" t="s">
        <v>656</v>
      </c>
      <c r="E124" t="s">
        <v>662</v>
      </c>
      <c r="F124" t="s">
        <v>27</v>
      </c>
      <c r="G124" t="s">
        <v>159</v>
      </c>
      <c r="H124" t="s">
        <v>671</v>
      </c>
      <c r="I124" t="s">
        <v>41</v>
      </c>
      <c r="J124" t="s">
        <v>119</v>
      </c>
      <c r="K124" t="s">
        <v>41</v>
      </c>
      <c r="L124" s="3">
        <v>45891</v>
      </c>
      <c r="M124" t="s">
        <v>36</v>
      </c>
      <c r="P124" t="s">
        <v>119</v>
      </c>
      <c r="Q124" t="s">
        <v>119</v>
      </c>
      <c r="R124" t="s">
        <v>119</v>
      </c>
      <c r="S124" t="s">
        <v>47</v>
      </c>
      <c r="T124" t="s">
        <v>47</v>
      </c>
    </row>
    <row r="125" spans="1:20" x14ac:dyDescent="0.2">
      <c r="A125" t="s">
        <v>629</v>
      </c>
      <c r="B125" t="s">
        <v>861</v>
      </c>
      <c r="C125" t="s">
        <v>864</v>
      </c>
      <c r="D125" t="s">
        <v>656</v>
      </c>
      <c r="E125" t="s">
        <v>662</v>
      </c>
      <c r="F125" t="s">
        <v>27</v>
      </c>
      <c r="G125" t="s">
        <v>159</v>
      </c>
      <c r="H125" t="s">
        <v>671</v>
      </c>
      <c r="I125" t="s">
        <v>41</v>
      </c>
      <c r="J125" t="s">
        <v>119</v>
      </c>
      <c r="K125" t="s">
        <v>41</v>
      </c>
      <c r="L125" s="3">
        <v>45877</v>
      </c>
      <c r="M125" t="s">
        <v>36</v>
      </c>
      <c r="P125" t="s">
        <v>119</v>
      </c>
      <c r="Q125" t="s">
        <v>119</v>
      </c>
      <c r="R125" t="s">
        <v>119</v>
      </c>
      <c r="S125" t="s">
        <v>47</v>
      </c>
      <c r="T125" t="s">
        <v>47</v>
      </c>
    </row>
    <row r="126" spans="1:20" x14ac:dyDescent="0.2">
      <c r="A126" t="s">
        <v>630</v>
      </c>
      <c r="B126" t="s">
        <v>865</v>
      </c>
      <c r="C126" t="s">
        <v>866</v>
      </c>
      <c r="D126" t="s">
        <v>192</v>
      </c>
      <c r="E126" t="s">
        <v>661</v>
      </c>
      <c r="F126" t="s">
        <v>25</v>
      </c>
      <c r="G126" t="s">
        <v>30</v>
      </c>
      <c r="H126" t="s">
        <v>671</v>
      </c>
      <c r="I126" t="s">
        <v>41</v>
      </c>
      <c r="J126" t="s">
        <v>119</v>
      </c>
      <c r="K126" t="s">
        <v>41</v>
      </c>
      <c r="L126" s="3">
        <v>45689</v>
      </c>
      <c r="M126" t="s">
        <v>36</v>
      </c>
      <c r="P126" t="s">
        <v>119</v>
      </c>
      <c r="Q126" t="s">
        <v>119</v>
      </c>
      <c r="R126" t="s">
        <v>119</v>
      </c>
      <c r="S126" t="s">
        <v>47</v>
      </c>
      <c r="T126" t="s">
        <v>47</v>
      </c>
    </row>
    <row r="127" spans="1:20" x14ac:dyDescent="0.2">
      <c r="A127" t="s">
        <v>631</v>
      </c>
      <c r="B127" t="s">
        <v>865</v>
      </c>
      <c r="C127" t="s">
        <v>867</v>
      </c>
      <c r="D127" t="s">
        <v>192</v>
      </c>
      <c r="E127" t="s">
        <v>661</v>
      </c>
      <c r="F127" t="s">
        <v>25</v>
      </c>
      <c r="G127" t="s">
        <v>30</v>
      </c>
      <c r="H127" t="s">
        <v>671</v>
      </c>
      <c r="I127" t="s">
        <v>41</v>
      </c>
      <c r="J127" t="s">
        <v>119</v>
      </c>
      <c r="K127" t="s">
        <v>41</v>
      </c>
      <c r="L127" s="3">
        <v>45710</v>
      </c>
      <c r="M127" t="s">
        <v>36</v>
      </c>
      <c r="P127" t="s">
        <v>119</v>
      </c>
      <c r="Q127" t="s">
        <v>119</v>
      </c>
      <c r="R127" t="s">
        <v>119</v>
      </c>
      <c r="S127" t="s">
        <v>47</v>
      </c>
      <c r="T127" t="s">
        <v>47</v>
      </c>
    </row>
    <row r="128" spans="1:20" x14ac:dyDescent="0.2">
      <c r="A128" t="s">
        <v>632</v>
      </c>
      <c r="B128" t="s">
        <v>868</v>
      </c>
      <c r="C128" t="s">
        <v>869</v>
      </c>
      <c r="D128" t="s">
        <v>192</v>
      </c>
      <c r="E128" t="s">
        <v>661</v>
      </c>
      <c r="F128" t="s">
        <v>25</v>
      </c>
      <c r="G128" t="s">
        <v>30</v>
      </c>
      <c r="H128" t="s">
        <v>870</v>
      </c>
      <c r="I128" t="s">
        <v>41</v>
      </c>
      <c r="J128" t="s">
        <v>119</v>
      </c>
      <c r="K128" t="s">
        <v>41</v>
      </c>
      <c r="L128" s="3">
        <v>45781</v>
      </c>
      <c r="M128" t="s">
        <v>37</v>
      </c>
      <c r="P128" t="s">
        <v>119</v>
      </c>
      <c r="Q128" t="s">
        <v>119</v>
      </c>
      <c r="R128" t="s">
        <v>119</v>
      </c>
      <c r="S128" t="s">
        <v>47</v>
      </c>
      <c r="T128" t="s">
        <v>47</v>
      </c>
    </row>
    <row r="129" spans="1:20" x14ac:dyDescent="0.2">
      <c r="A129" t="s">
        <v>633</v>
      </c>
      <c r="B129" t="s">
        <v>871</v>
      </c>
      <c r="C129" t="s">
        <v>872</v>
      </c>
      <c r="D129" t="s">
        <v>192</v>
      </c>
      <c r="E129" t="s">
        <v>661</v>
      </c>
      <c r="F129" t="s">
        <v>25</v>
      </c>
      <c r="G129" t="s">
        <v>31</v>
      </c>
      <c r="H129" t="s">
        <v>873</v>
      </c>
      <c r="I129" t="s">
        <v>41</v>
      </c>
      <c r="J129" t="s">
        <v>119</v>
      </c>
      <c r="K129" t="s">
        <v>41</v>
      </c>
      <c r="L129" s="3">
        <v>45974</v>
      </c>
      <c r="M129" t="s">
        <v>37</v>
      </c>
      <c r="P129" t="s">
        <v>119</v>
      </c>
      <c r="Q129" t="s">
        <v>119</v>
      </c>
      <c r="R129" t="s">
        <v>119</v>
      </c>
      <c r="S129" t="s">
        <v>47</v>
      </c>
      <c r="T129" t="s">
        <v>47</v>
      </c>
    </row>
    <row r="130" spans="1:20" x14ac:dyDescent="0.2">
      <c r="A130" t="s">
        <v>634</v>
      </c>
      <c r="B130" t="s">
        <v>874</v>
      </c>
      <c r="C130" t="s">
        <v>875</v>
      </c>
      <c r="D130" t="s">
        <v>192</v>
      </c>
      <c r="E130" t="s">
        <v>661</v>
      </c>
      <c r="F130" t="s">
        <v>25</v>
      </c>
      <c r="G130" t="s">
        <v>30</v>
      </c>
      <c r="H130" t="s">
        <v>876</v>
      </c>
      <c r="I130" t="s">
        <v>41</v>
      </c>
      <c r="J130" t="s">
        <v>119</v>
      </c>
      <c r="K130" t="s">
        <v>41</v>
      </c>
      <c r="L130" s="3">
        <v>45938</v>
      </c>
      <c r="M130" t="s">
        <v>37</v>
      </c>
      <c r="P130" t="s">
        <v>119</v>
      </c>
      <c r="Q130" t="s">
        <v>119</v>
      </c>
      <c r="R130" t="s">
        <v>119</v>
      </c>
      <c r="S130" t="s">
        <v>47</v>
      </c>
      <c r="T130" t="s">
        <v>47</v>
      </c>
    </row>
    <row r="131" spans="1:20" x14ac:dyDescent="0.2">
      <c r="A131" t="s">
        <v>635</v>
      </c>
      <c r="B131" t="s">
        <v>877</v>
      </c>
      <c r="C131" t="s">
        <v>878</v>
      </c>
      <c r="D131" t="s">
        <v>192</v>
      </c>
      <c r="E131" t="s">
        <v>661</v>
      </c>
      <c r="F131" t="s">
        <v>25</v>
      </c>
      <c r="G131" t="s">
        <v>30</v>
      </c>
      <c r="H131" t="s">
        <v>879</v>
      </c>
      <c r="I131" t="s">
        <v>41</v>
      </c>
      <c r="J131" t="s">
        <v>119</v>
      </c>
      <c r="K131" t="s">
        <v>41</v>
      </c>
      <c r="L131" s="3">
        <v>45723</v>
      </c>
      <c r="M131" t="s">
        <v>36</v>
      </c>
      <c r="P131" t="s">
        <v>119</v>
      </c>
      <c r="Q131" t="s">
        <v>119</v>
      </c>
      <c r="R131" t="s">
        <v>119</v>
      </c>
      <c r="S131" t="s">
        <v>47</v>
      </c>
      <c r="T131" t="s">
        <v>47</v>
      </c>
    </row>
    <row r="132" spans="1:20" x14ac:dyDescent="0.2">
      <c r="A132" t="s">
        <v>636</v>
      </c>
      <c r="B132" t="s">
        <v>880</v>
      </c>
      <c r="C132" t="s">
        <v>881</v>
      </c>
      <c r="D132" t="s">
        <v>192</v>
      </c>
      <c r="E132" t="s">
        <v>661</v>
      </c>
      <c r="F132" t="s">
        <v>25</v>
      </c>
      <c r="G132" t="s">
        <v>30</v>
      </c>
      <c r="H132" t="s">
        <v>882</v>
      </c>
      <c r="I132" t="s">
        <v>41</v>
      </c>
      <c r="J132" t="s">
        <v>119</v>
      </c>
      <c r="K132" t="s">
        <v>41</v>
      </c>
      <c r="L132" s="3">
        <v>45841</v>
      </c>
      <c r="M132" t="s">
        <v>37</v>
      </c>
      <c r="P132" t="s">
        <v>119</v>
      </c>
      <c r="Q132" t="s">
        <v>119</v>
      </c>
      <c r="R132" t="s">
        <v>119</v>
      </c>
      <c r="S132" t="s">
        <v>47</v>
      </c>
      <c r="T132" t="s">
        <v>47</v>
      </c>
    </row>
    <row r="133" spans="1:20" x14ac:dyDescent="0.2">
      <c r="A133" t="s">
        <v>637</v>
      </c>
      <c r="B133" t="s">
        <v>841</v>
      </c>
      <c r="C133" t="s">
        <v>883</v>
      </c>
      <c r="D133" t="s">
        <v>238</v>
      </c>
      <c r="E133" t="s">
        <v>659</v>
      </c>
      <c r="F133" t="s">
        <v>39</v>
      </c>
      <c r="G133" t="s">
        <v>30</v>
      </c>
      <c r="H133" t="s">
        <v>668</v>
      </c>
      <c r="I133" t="s">
        <v>41</v>
      </c>
      <c r="J133" t="s">
        <v>119</v>
      </c>
      <c r="K133" t="s">
        <v>41</v>
      </c>
      <c r="L133" s="3">
        <v>45857</v>
      </c>
      <c r="M133" t="s">
        <v>36</v>
      </c>
      <c r="P133" t="s">
        <v>119</v>
      </c>
      <c r="Q133" t="s">
        <v>119</v>
      </c>
      <c r="R133" t="s">
        <v>119</v>
      </c>
      <c r="S133" t="s">
        <v>47</v>
      </c>
      <c r="T133" t="s">
        <v>47</v>
      </c>
    </row>
    <row r="134" spans="1:20" x14ac:dyDescent="0.2">
      <c r="A134" t="s">
        <v>638</v>
      </c>
      <c r="B134" t="s">
        <v>760</v>
      </c>
      <c r="C134" t="s">
        <v>884</v>
      </c>
      <c r="D134" t="s">
        <v>238</v>
      </c>
      <c r="E134" t="s">
        <v>659</v>
      </c>
      <c r="F134" t="s">
        <v>39</v>
      </c>
      <c r="G134" t="s">
        <v>31</v>
      </c>
      <c r="H134" t="s">
        <v>173</v>
      </c>
      <c r="I134" t="s">
        <v>41</v>
      </c>
      <c r="J134" t="s">
        <v>119</v>
      </c>
      <c r="K134" t="s">
        <v>41</v>
      </c>
      <c r="L134" s="3">
        <v>45696</v>
      </c>
      <c r="M134" t="s">
        <v>36</v>
      </c>
      <c r="P134" t="s">
        <v>119</v>
      </c>
      <c r="Q134" t="s">
        <v>119</v>
      </c>
      <c r="R134" t="s">
        <v>119</v>
      </c>
      <c r="S134" t="s">
        <v>47</v>
      </c>
      <c r="T134" t="s">
        <v>47</v>
      </c>
    </row>
    <row r="135" spans="1:20" x14ac:dyDescent="0.2">
      <c r="A135" t="s">
        <v>639</v>
      </c>
      <c r="B135" t="s">
        <v>760</v>
      </c>
      <c r="C135" t="s">
        <v>885</v>
      </c>
      <c r="D135" t="s">
        <v>238</v>
      </c>
      <c r="E135" t="s">
        <v>659</v>
      </c>
      <c r="F135" t="s">
        <v>39</v>
      </c>
      <c r="G135" t="s">
        <v>31</v>
      </c>
      <c r="H135" t="s">
        <v>173</v>
      </c>
      <c r="I135" t="s">
        <v>41</v>
      </c>
      <c r="J135" t="s">
        <v>119</v>
      </c>
      <c r="K135" t="s">
        <v>41</v>
      </c>
      <c r="L135" s="3">
        <v>45711</v>
      </c>
      <c r="M135" t="s">
        <v>36</v>
      </c>
      <c r="P135" t="s">
        <v>119</v>
      </c>
      <c r="Q135" t="s">
        <v>119</v>
      </c>
      <c r="R135" t="s">
        <v>119</v>
      </c>
      <c r="S135" t="s">
        <v>47</v>
      </c>
      <c r="T135" t="s">
        <v>47</v>
      </c>
    </row>
    <row r="136" spans="1:20" x14ac:dyDescent="0.2">
      <c r="A136" t="s">
        <v>640</v>
      </c>
      <c r="B136" t="s">
        <v>886</v>
      </c>
      <c r="C136" t="s">
        <v>887</v>
      </c>
      <c r="D136" t="s">
        <v>238</v>
      </c>
      <c r="E136" t="s">
        <v>659</v>
      </c>
      <c r="F136" t="s">
        <v>39</v>
      </c>
      <c r="G136" t="s">
        <v>33</v>
      </c>
      <c r="H136" t="s">
        <v>182</v>
      </c>
      <c r="I136" t="s">
        <v>41</v>
      </c>
      <c r="J136" t="s">
        <v>119</v>
      </c>
      <c r="K136" t="s">
        <v>41</v>
      </c>
      <c r="L136" s="3">
        <v>45702</v>
      </c>
      <c r="M136" t="s">
        <v>37</v>
      </c>
      <c r="P136" t="s">
        <v>119</v>
      </c>
      <c r="Q136" t="s">
        <v>119</v>
      </c>
      <c r="R136" t="s">
        <v>119</v>
      </c>
      <c r="S136" t="s">
        <v>47</v>
      </c>
      <c r="T136" t="s">
        <v>47</v>
      </c>
    </row>
    <row r="137" spans="1:20" x14ac:dyDescent="0.2">
      <c r="A137" t="s">
        <v>641</v>
      </c>
      <c r="B137" t="s">
        <v>888</v>
      </c>
      <c r="C137" t="s">
        <v>889</v>
      </c>
      <c r="D137" t="s">
        <v>238</v>
      </c>
      <c r="E137" t="s">
        <v>659</v>
      </c>
      <c r="F137" t="s">
        <v>39</v>
      </c>
      <c r="G137" t="s">
        <v>33</v>
      </c>
      <c r="H137" t="s">
        <v>147</v>
      </c>
      <c r="I137" t="s">
        <v>41</v>
      </c>
      <c r="J137" t="s">
        <v>119</v>
      </c>
      <c r="K137" t="s">
        <v>41</v>
      </c>
      <c r="L137" s="3">
        <v>45993</v>
      </c>
      <c r="M137" t="s">
        <v>131</v>
      </c>
      <c r="P137" t="s">
        <v>119</v>
      </c>
      <c r="Q137" t="s">
        <v>94</v>
      </c>
      <c r="R137" t="s">
        <v>119</v>
      </c>
      <c r="S137" t="s">
        <v>47</v>
      </c>
      <c r="T137" t="s">
        <v>47</v>
      </c>
    </row>
    <row r="138" spans="1:20" x14ac:dyDescent="0.2">
      <c r="A138" t="s">
        <v>642</v>
      </c>
      <c r="B138" t="s">
        <v>890</v>
      </c>
      <c r="C138" t="s">
        <v>891</v>
      </c>
      <c r="D138" t="s">
        <v>238</v>
      </c>
      <c r="E138" t="s">
        <v>659</v>
      </c>
      <c r="F138" t="s">
        <v>39</v>
      </c>
      <c r="G138" t="s">
        <v>31</v>
      </c>
      <c r="H138" t="s">
        <v>160</v>
      </c>
      <c r="I138" t="s">
        <v>41</v>
      </c>
      <c r="J138" t="s">
        <v>119</v>
      </c>
      <c r="K138" t="s">
        <v>41</v>
      </c>
      <c r="L138" s="3">
        <v>45730</v>
      </c>
      <c r="M138" t="s">
        <v>37</v>
      </c>
      <c r="P138" t="s">
        <v>119</v>
      </c>
      <c r="Q138" t="s">
        <v>119</v>
      </c>
      <c r="R138" t="s">
        <v>119</v>
      </c>
      <c r="S138" t="s">
        <v>47</v>
      </c>
      <c r="T138" t="s">
        <v>47</v>
      </c>
    </row>
    <row r="139" spans="1:20" x14ac:dyDescent="0.2">
      <c r="A139" t="s">
        <v>643</v>
      </c>
      <c r="B139" t="s">
        <v>767</v>
      </c>
      <c r="C139" t="s">
        <v>892</v>
      </c>
      <c r="D139" t="s">
        <v>238</v>
      </c>
      <c r="E139" t="s">
        <v>659</v>
      </c>
      <c r="F139" t="s">
        <v>39</v>
      </c>
      <c r="G139" t="s">
        <v>30</v>
      </c>
      <c r="H139" t="s">
        <v>160</v>
      </c>
      <c r="I139" t="s">
        <v>41</v>
      </c>
      <c r="J139" t="s">
        <v>119</v>
      </c>
      <c r="K139" t="s">
        <v>41</v>
      </c>
      <c r="L139" s="3">
        <v>45923</v>
      </c>
      <c r="M139" t="s">
        <v>36</v>
      </c>
      <c r="P139" t="s">
        <v>119</v>
      </c>
      <c r="Q139" t="s">
        <v>119</v>
      </c>
      <c r="R139" t="s">
        <v>119</v>
      </c>
      <c r="S139" t="s">
        <v>47</v>
      </c>
      <c r="T139" t="s">
        <v>47</v>
      </c>
    </row>
    <row r="140" spans="1:20" x14ac:dyDescent="0.2">
      <c r="A140" t="s">
        <v>644</v>
      </c>
      <c r="B140" t="s">
        <v>857</v>
      </c>
      <c r="C140" t="s">
        <v>893</v>
      </c>
      <c r="D140" t="s">
        <v>192</v>
      </c>
      <c r="E140" t="s">
        <v>661</v>
      </c>
      <c r="F140" t="s">
        <v>25</v>
      </c>
      <c r="G140" t="s">
        <v>31</v>
      </c>
      <c r="H140" t="s">
        <v>671</v>
      </c>
      <c r="I140" t="s">
        <v>41</v>
      </c>
      <c r="J140" t="s">
        <v>119</v>
      </c>
      <c r="K140" t="s">
        <v>41</v>
      </c>
      <c r="L140" s="3">
        <v>45932</v>
      </c>
      <c r="M140" t="s">
        <v>37</v>
      </c>
      <c r="P140" t="s">
        <v>119</v>
      </c>
      <c r="Q140" t="s">
        <v>119</v>
      </c>
      <c r="R140" t="s">
        <v>119</v>
      </c>
      <c r="S140" t="s">
        <v>47</v>
      </c>
      <c r="T140" t="s">
        <v>47</v>
      </c>
    </row>
    <row r="141" spans="1:20" x14ac:dyDescent="0.2">
      <c r="A141" t="s">
        <v>645</v>
      </c>
      <c r="B141" t="s">
        <v>894</v>
      </c>
      <c r="C141" t="s">
        <v>895</v>
      </c>
      <c r="D141" t="s">
        <v>192</v>
      </c>
      <c r="E141" t="s">
        <v>661</v>
      </c>
      <c r="F141" t="s">
        <v>25</v>
      </c>
      <c r="G141" t="s">
        <v>34</v>
      </c>
      <c r="H141" t="s">
        <v>671</v>
      </c>
      <c r="I141" t="s">
        <v>41</v>
      </c>
      <c r="J141" t="s">
        <v>119</v>
      </c>
      <c r="K141" t="s">
        <v>41</v>
      </c>
      <c r="L141" s="3">
        <v>46014</v>
      </c>
      <c r="M141" t="s">
        <v>36</v>
      </c>
      <c r="P141" t="s">
        <v>119</v>
      </c>
      <c r="Q141" t="s">
        <v>119</v>
      </c>
      <c r="R141" t="s">
        <v>119</v>
      </c>
      <c r="S141" t="s">
        <v>47</v>
      </c>
      <c r="T141" t="s">
        <v>47</v>
      </c>
    </row>
    <row r="142" spans="1:20" x14ac:dyDescent="0.2">
      <c r="A142" t="s">
        <v>646</v>
      </c>
      <c r="B142" t="s">
        <v>896</v>
      </c>
      <c r="C142" t="s">
        <v>897</v>
      </c>
      <c r="D142" t="s">
        <v>192</v>
      </c>
      <c r="E142" t="s">
        <v>661</v>
      </c>
      <c r="F142" t="s">
        <v>25</v>
      </c>
      <c r="G142" t="s">
        <v>159</v>
      </c>
      <c r="H142" t="s">
        <v>671</v>
      </c>
      <c r="I142" t="s">
        <v>41</v>
      </c>
      <c r="J142" t="s">
        <v>119</v>
      </c>
      <c r="K142" t="s">
        <v>41</v>
      </c>
      <c r="L142" s="3">
        <v>45839</v>
      </c>
      <c r="M142" t="s">
        <v>37</v>
      </c>
      <c r="P142" t="s">
        <v>119</v>
      </c>
      <c r="Q142" t="s">
        <v>119</v>
      </c>
      <c r="R142" t="s">
        <v>119</v>
      </c>
      <c r="S142" t="s">
        <v>47</v>
      </c>
      <c r="T142" t="s">
        <v>47</v>
      </c>
    </row>
    <row r="143" spans="1:20" x14ac:dyDescent="0.2">
      <c r="A143" t="s">
        <v>647</v>
      </c>
      <c r="B143" t="s">
        <v>861</v>
      </c>
      <c r="C143" t="s">
        <v>898</v>
      </c>
      <c r="D143" t="s">
        <v>192</v>
      </c>
      <c r="E143" t="s">
        <v>661</v>
      </c>
      <c r="F143" t="s">
        <v>25</v>
      </c>
      <c r="G143" t="s">
        <v>159</v>
      </c>
      <c r="H143" t="s">
        <v>671</v>
      </c>
      <c r="I143" t="s">
        <v>41</v>
      </c>
      <c r="J143" t="s">
        <v>119</v>
      </c>
      <c r="K143" t="s">
        <v>41</v>
      </c>
      <c r="L143" s="3">
        <v>45749</v>
      </c>
      <c r="M143" t="s">
        <v>36</v>
      </c>
      <c r="P143" t="s">
        <v>119</v>
      </c>
      <c r="Q143" t="s">
        <v>119</v>
      </c>
      <c r="R143" t="s">
        <v>119</v>
      </c>
      <c r="S143" t="s">
        <v>47</v>
      </c>
      <c r="T143" t="s">
        <v>47</v>
      </c>
    </row>
    <row r="144" spans="1:20" x14ac:dyDescent="0.2">
      <c r="A144" t="s">
        <v>648</v>
      </c>
      <c r="B144" t="s">
        <v>861</v>
      </c>
      <c r="C144" t="s">
        <v>899</v>
      </c>
      <c r="D144" t="s">
        <v>192</v>
      </c>
      <c r="E144" t="s">
        <v>661</v>
      </c>
      <c r="F144" t="s">
        <v>25</v>
      </c>
      <c r="G144" t="s">
        <v>159</v>
      </c>
      <c r="H144" t="s">
        <v>671</v>
      </c>
      <c r="I144" t="s">
        <v>41</v>
      </c>
      <c r="J144" t="s">
        <v>119</v>
      </c>
      <c r="K144" t="s">
        <v>41</v>
      </c>
      <c r="L144" s="3">
        <v>45883</v>
      </c>
      <c r="M144" t="s">
        <v>36</v>
      </c>
      <c r="P144" t="s">
        <v>119</v>
      </c>
      <c r="Q144" t="s">
        <v>119</v>
      </c>
      <c r="R144" t="s">
        <v>119</v>
      </c>
      <c r="S144" t="s">
        <v>47</v>
      </c>
      <c r="T144" t="s">
        <v>47</v>
      </c>
    </row>
    <row r="145" spans="1:20" x14ac:dyDescent="0.2">
      <c r="A145" t="s">
        <v>649</v>
      </c>
      <c r="B145" t="s">
        <v>859</v>
      </c>
      <c r="C145" t="s">
        <v>900</v>
      </c>
      <c r="D145" t="s">
        <v>192</v>
      </c>
      <c r="E145" t="s">
        <v>661</v>
      </c>
      <c r="F145" t="s">
        <v>25</v>
      </c>
      <c r="G145" t="s">
        <v>31</v>
      </c>
      <c r="H145" t="s">
        <v>671</v>
      </c>
      <c r="I145" t="s">
        <v>41</v>
      </c>
      <c r="J145" t="s">
        <v>119</v>
      </c>
      <c r="K145" t="s">
        <v>41</v>
      </c>
      <c r="L145" s="3">
        <v>45890</v>
      </c>
      <c r="M145" t="s">
        <v>36</v>
      </c>
      <c r="P145" t="s">
        <v>119</v>
      </c>
      <c r="Q145" t="s">
        <v>119</v>
      </c>
      <c r="R145" t="s">
        <v>119</v>
      </c>
      <c r="S145" t="s">
        <v>47</v>
      </c>
      <c r="T145" t="s">
        <v>47</v>
      </c>
    </row>
    <row r="146" spans="1:20" x14ac:dyDescent="0.2">
      <c r="A146" t="s">
        <v>650</v>
      </c>
      <c r="B146" t="s">
        <v>857</v>
      </c>
      <c r="C146" t="s">
        <v>901</v>
      </c>
      <c r="D146" t="s">
        <v>192</v>
      </c>
      <c r="E146" t="s">
        <v>661</v>
      </c>
      <c r="F146" t="s">
        <v>25</v>
      </c>
      <c r="G146" t="s">
        <v>31</v>
      </c>
      <c r="H146" t="s">
        <v>671</v>
      </c>
      <c r="I146" t="s">
        <v>41</v>
      </c>
      <c r="J146" t="s">
        <v>119</v>
      </c>
      <c r="K146" t="s">
        <v>41</v>
      </c>
      <c r="L146" s="3">
        <v>45907</v>
      </c>
      <c r="M146" t="s">
        <v>37</v>
      </c>
      <c r="P146" t="s">
        <v>119</v>
      </c>
      <c r="Q146" t="s">
        <v>119</v>
      </c>
      <c r="R146" t="s">
        <v>119</v>
      </c>
      <c r="S146" t="s">
        <v>47</v>
      </c>
      <c r="T146" t="s">
        <v>47</v>
      </c>
    </row>
    <row r="147" spans="1:20" x14ac:dyDescent="0.2">
      <c r="A147" t="s">
        <v>651</v>
      </c>
      <c r="B147" t="s">
        <v>841</v>
      </c>
      <c r="C147" t="s">
        <v>902</v>
      </c>
      <c r="D147" t="s">
        <v>656</v>
      </c>
      <c r="E147" t="s">
        <v>662</v>
      </c>
      <c r="F147" t="s">
        <v>27</v>
      </c>
      <c r="G147" t="s">
        <v>30</v>
      </c>
      <c r="H147" t="s">
        <v>668</v>
      </c>
      <c r="I147" t="s">
        <v>41</v>
      </c>
      <c r="J147" t="s">
        <v>119</v>
      </c>
      <c r="K147" t="s">
        <v>41</v>
      </c>
      <c r="L147" s="3">
        <v>45781</v>
      </c>
      <c r="M147" t="s">
        <v>36</v>
      </c>
      <c r="P147" t="s">
        <v>119</v>
      </c>
      <c r="Q147" t="s">
        <v>119</v>
      </c>
      <c r="R147" t="s">
        <v>119</v>
      </c>
      <c r="S147" t="s">
        <v>47</v>
      </c>
      <c r="T147" t="s">
        <v>47</v>
      </c>
    </row>
    <row r="148" spans="1:20" x14ac:dyDescent="0.2">
      <c r="A148" t="s">
        <v>652</v>
      </c>
      <c r="B148" t="s">
        <v>845</v>
      </c>
      <c r="C148" t="s">
        <v>903</v>
      </c>
      <c r="D148" t="s">
        <v>656</v>
      </c>
      <c r="E148" t="s">
        <v>662</v>
      </c>
      <c r="F148" t="s">
        <v>27</v>
      </c>
      <c r="G148" t="s">
        <v>30</v>
      </c>
      <c r="H148" t="s">
        <v>668</v>
      </c>
      <c r="I148" t="s">
        <v>41</v>
      </c>
      <c r="J148" t="s">
        <v>119</v>
      </c>
      <c r="K148" t="s">
        <v>41</v>
      </c>
      <c r="L148" s="3">
        <v>45925</v>
      </c>
      <c r="M148" t="s">
        <v>37</v>
      </c>
      <c r="P148" t="s">
        <v>119</v>
      </c>
      <c r="Q148" t="s">
        <v>119</v>
      </c>
      <c r="R148" t="s">
        <v>119</v>
      </c>
      <c r="S148" t="s">
        <v>47</v>
      </c>
      <c r="T148" t="s">
        <v>47</v>
      </c>
    </row>
    <row r="149" spans="1:20" x14ac:dyDescent="0.2">
      <c r="A149" t="s">
        <v>653</v>
      </c>
      <c r="B149" t="s">
        <v>849</v>
      </c>
      <c r="C149" t="s">
        <v>904</v>
      </c>
      <c r="D149" t="s">
        <v>656</v>
      </c>
      <c r="E149" t="s">
        <v>662</v>
      </c>
      <c r="F149" t="s">
        <v>27</v>
      </c>
      <c r="G149" t="s">
        <v>31</v>
      </c>
      <c r="H149" t="s">
        <v>668</v>
      </c>
      <c r="I149" t="s">
        <v>41</v>
      </c>
      <c r="J149" t="s">
        <v>119</v>
      </c>
      <c r="K149" t="s">
        <v>41</v>
      </c>
      <c r="L149" s="3">
        <v>45823</v>
      </c>
      <c r="M149" t="s">
        <v>37</v>
      </c>
      <c r="P149" t="s">
        <v>119</v>
      </c>
      <c r="Q149" t="s">
        <v>119</v>
      </c>
      <c r="R149" t="s">
        <v>119</v>
      </c>
      <c r="S149" t="s">
        <v>47</v>
      </c>
      <c r="T149" t="s">
        <v>47</v>
      </c>
    </row>
    <row r="150" spans="1:20" x14ac:dyDescent="0.2">
      <c r="A150" t="s">
        <v>654</v>
      </c>
      <c r="B150" t="s">
        <v>905</v>
      </c>
      <c r="C150" t="s">
        <v>906</v>
      </c>
      <c r="D150" t="s">
        <v>656</v>
      </c>
      <c r="E150" t="s">
        <v>662</v>
      </c>
      <c r="F150" t="s">
        <v>27</v>
      </c>
      <c r="G150" t="s">
        <v>33</v>
      </c>
      <c r="H150" t="s">
        <v>250</v>
      </c>
      <c r="I150" t="s">
        <v>41</v>
      </c>
      <c r="J150" t="s">
        <v>119</v>
      </c>
      <c r="K150" t="s">
        <v>41</v>
      </c>
      <c r="L150" s="3">
        <v>46016</v>
      </c>
      <c r="M150" t="s">
        <v>36</v>
      </c>
      <c r="P150" t="s">
        <v>119</v>
      </c>
      <c r="Q150" t="s">
        <v>119</v>
      </c>
      <c r="R150" t="s">
        <v>119</v>
      </c>
      <c r="S150" t="s">
        <v>47</v>
      </c>
      <c r="T150" t="s">
        <v>47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73541-9ECA-754A-AFE8-2AB49E24D896}">
  <dimension ref="A1:F23"/>
  <sheetViews>
    <sheetView showGridLines="0" showRowColHeaders="0" zoomScale="210" zoomScaleNormal="210" workbookViewId="0">
      <selection activeCell="F41" sqref="F41"/>
      <extLst>
        <ext xmlns:xlsdti="http://schemas.microsoft.com/office/spreadsheetml/2023/showDataTypeIcons" uri="{77bfe23e-c014-4d31-8a63-9c772dbf06b6}">
          <xlsdti:showDataTypeIcons visible="0"/>
        </ext>
      </extLst>
    </sheetView>
  </sheetViews>
  <sheetFormatPr baseColWidth="10" defaultRowHeight="15" x14ac:dyDescent="0.2"/>
  <cols>
    <col min="1" max="1" width="18" customWidth="1"/>
    <col min="2" max="2" width="17.5" customWidth="1"/>
    <col min="3" max="3" width="54.1640625" customWidth="1"/>
    <col min="4" max="4" width="31.5" customWidth="1"/>
    <col min="5" max="5" width="54" customWidth="1"/>
    <col min="6" max="6" width="25.33203125" customWidth="1"/>
  </cols>
  <sheetData>
    <row r="1" spans="1:6" x14ac:dyDescent="0.2">
      <c r="A1" t="s">
        <v>411</v>
      </c>
      <c r="B1" t="s">
        <v>412</v>
      </c>
      <c r="C1" t="s">
        <v>413</v>
      </c>
      <c r="D1" t="s">
        <v>414</v>
      </c>
      <c r="E1" t="s">
        <v>415</v>
      </c>
      <c r="F1" t="s">
        <v>1</v>
      </c>
    </row>
    <row r="2" spans="1:6" x14ac:dyDescent="0.2">
      <c r="C2" t="s">
        <v>416</v>
      </c>
    </row>
    <row r="4" spans="1:6" x14ac:dyDescent="0.2">
      <c r="A4" t="s">
        <v>417</v>
      </c>
      <c r="B4" t="s">
        <v>418</v>
      </c>
      <c r="C4" t="s">
        <v>419</v>
      </c>
      <c r="D4" t="s">
        <v>263</v>
      </c>
      <c r="E4" t="s">
        <v>420</v>
      </c>
      <c r="F4" t="s">
        <v>421</v>
      </c>
    </row>
    <row r="5" spans="1:6" x14ac:dyDescent="0.2">
      <c r="A5" t="s">
        <v>422</v>
      </c>
      <c r="B5" t="s">
        <v>423</v>
      </c>
      <c r="C5" t="s">
        <v>424</v>
      </c>
      <c r="D5" t="s">
        <v>425</v>
      </c>
      <c r="E5" t="s">
        <v>426</v>
      </c>
      <c r="F5" t="s">
        <v>427</v>
      </c>
    </row>
    <row r="6" spans="1:6" x14ac:dyDescent="0.2">
      <c r="A6" t="s">
        <v>428</v>
      </c>
      <c r="B6" t="s">
        <v>429</v>
      </c>
      <c r="C6" t="s">
        <v>430</v>
      </c>
      <c r="D6" t="s">
        <v>431</v>
      </c>
      <c r="E6" t="s">
        <v>432</v>
      </c>
      <c r="F6" t="s">
        <v>433</v>
      </c>
    </row>
    <row r="7" spans="1:6" x14ac:dyDescent="0.2">
      <c r="A7" t="s">
        <v>434</v>
      </c>
      <c r="B7" t="s">
        <v>435</v>
      </c>
      <c r="C7" t="s">
        <v>436</v>
      </c>
      <c r="D7" t="s">
        <v>437</v>
      </c>
      <c r="E7" t="s">
        <v>438</v>
      </c>
      <c r="F7" t="s">
        <v>439</v>
      </c>
    </row>
    <row r="8" spans="1:6" x14ac:dyDescent="0.2">
      <c r="A8" t="s">
        <v>440</v>
      </c>
      <c r="B8" t="s">
        <v>441</v>
      </c>
      <c r="C8" t="s">
        <v>442</v>
      </c>
      <c r="D8" t="s">
        <v>443</v>
      </c>
      <c r="E8" t="s">
        <v>444</v>
      </c>
      <c r="F8" t="s">
        <v>445</v>
      </c>
    </row>
    <row r="9" spans="1:6" x14ac:dyDescent="0.2">
      <c r="A9" t="s">
        <v>446</v>
      </c>
      <c r="B9" t="s">
        <v>447</v>
      </c>
      <c r="C9" t="s">
        <v>448</v>
      </c>
      <c r="D9" t="s">
        <v>449</v>
      </c>
      <c r="E9" t="s">
        <v>450</v>
      </c>
      <c r="F9" t="s">
        <v>451</v>
      </c>
    </row>
    <row r="10" spans="1:6" x14ac:dyDescent="0.2">
      <c r="A10" t="s">
        <v>452</v>
      </c>
      <c r="B10" t="s">
        <v>453</v>
      </c>
      <c r="C10" t="s">
        <v>454</v>
      </c>
      <c r="D10" t="s">
        <v>455</v>
      </c>
      <c r="E10" t="s">
        <v>456</v>
      </c>
      <c r="F10" t="s">
        <v>457</v>
      </c>
    </row>
    <row r="11" spans="1:6" x14ac:dyDescent="0.2">
      <c r="A11" t="s">
        <v>458</v>
      </c>
      <c r="B11" t="s">
        <v>459</v>
      </c>
      <c r="C11" t="s">
        <v>460</v>
      </c>
      <c r="D11" t="s">
        <v>461</v>
      </c>
      <c r="E11" t="s">
        <v>462</v>
      </c>
      <c r="F11" t="s">
        <v>463</v>
      </c>
    </row>
    <row r="12" spans="1:6" x14ac:dyDescent="0.2">
      <c r="A12" t="s">
        <v>464</v>
      </c>
      <c r="B12" t="s">
        <v>465</v>
      </c>
      <c r="C12" t="s">
        <v>466</v>
      </c>
      <c r="D12" t="s">
        <v>467</v>
      </c>
      <c r="E12" t="s">
        <v>468</v>
      </c>
      <c r="F12" t="s">
        <v>469</v>
      </c>
    </row>
    <row r="13" spans="1:6" x14ac:dyDescent="0.2">
      <c r="A13" t="s">
        <v>470</v>
      </c>
      <c r="B13" t="s">
        <v>471</v>
      </c>
      <c r="C13" t="s">
        <v>472</v>
      </c>
      <c r="D13" t="s">
        <v>473</v>
      </c>
      <c r="E13" t="s">
        <v>474</v>
      </c>
      <c r="F13" t="s">
        <v>475</v>
      </c>
    </row>
    <row r="16" spans="1:6" x14ac:dyDescent="0.2">
      <c r="A16" t="s">
        <v>476</v>
      </c>
      <c r="C16" t="s">
        <v>480</v>
      </c>
    </row>
    <row r="17" spans="1:3" x14ac:dyDescent="0.2">
      <c r="A17" t="s">
        <v>477</v>
      </c>
      <c r="C17" t="s">
        <v>481</v>
      </c>
    </row>
    <row r="18" spans="1:3" x14ac:dyDescent="0.2">
      <c r="A18" t="s">
        <v>478</v>
      </c>
      <c r="C18" t="s">
        <v>482</v>
      </c>
    </row>
    <row r="19" spans="1:3" x14ac:dyDescent="0.2">
      <c r="A19" t="s">
        <v>479</v>
      </c>
      <c r="C19" t="s">
        <v>483</v>
      </c>
    </row>
    <row r="20" spans="1:3" x14ac:dyDescent="0.2">
      <c r="A20" t="s">
        <v>26</v>
      </c>
      <c r="C20" t="s">
        <v>484</v>
      </c>
    </row>
    <row r="21" spans="1:3" x14ac:dyDescent="0.2">
      <c r="A21" t="s">
        <v>27</v>
      </c>
    </row>
    <row r="22" spans="1:3" x14ac:dyDescent="0.2">
      <c r="A22" t="s">
        <v>28</v>
      </c>
    </row>
    <row r="23" spans="1:3" x14ac:dyDescent="0.2">
      <c r="A23" t="s">
        <v>655</v>
      </c>
    </row>
  </sheetData>
  <pageMargins left="0.7" right="0.7" top="0.75" bottom="0.75" header="0.3" footer="0.3"/>
  <pageSetup orientation="portrait" horizontalDpi="0" verticalDpi="0"/>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6C169-F8C2-6E48-B030-65457DF52086}">
  <dimension ref="A1:M26"/>
  <sheetViews>
    <sheetView showGridLines="0" showRowColHeaders="0" zoomScale="210" zoomScaleNormal="210" workbookViewId="0">
      <selection activeCell="F23" sqref="F23"/>
    </sheetView>
  </sheetViews>
  <sheetFormatPr baseColWidth="10" defaultRowHeight="15" x14ac:dyDescent="0.2"/>
  <cols>
    <col min="1" max="1" width="13.5" customWidth="1"/>
    <col min="3" max="3" width="54" customWidth="1"/>
    <col min="4" max="5" width="49.6640625" customWidth="1"/>
    <col min="6" max="6" width="22.5" customWidth="1"/>
    <col min="7" max="7" width="17.5" customWidth="1"/>
    <col min="8" max="8" width="24.5" customWidth="1"/>
    <col min="9" max="9" width="17.83203125" customWidth="1"/>
    <col min="10" max="10" width="63.6640625" customWidth="1"/>
    <col min="11" max="11" width="17.1640625" customWidth="1"/>
    <col min="12" max="12" width="12.5" customWidth="1"/>
    <col min="13" max="13" width="42.6640625" customWidth="1"/>
  </cols>
  <sheetData>
    <row r="1" spans="1:13" x14ac:dyDescent="0.2">
      <c r="A1" t="s">
        <v>295</v>
      </c>
      <c r="B1" t="s">
        <v>2</v>
      </c>
      <c r="C1" t="s">
        <v>5</v>
      </c>
      <c r="D1" t="s">
        <v>3</v>
      </c>
      <c r="E1" t="s">
        <v>11</v>
      </c>
      <c r="F1" t="s">
        <v>6</v>
      </c>
      <c r="G1" t="s">
        <v>296</v>
      </c>
      <c r="H1" t="s">
        <v>20</v>
      </c>
      <c r="I1" t="s">
        <v>21</v>
      </c>
      <c r="J1" t="s">
        <v>279</v>
      </c>
      <c r="K1" t="s">
        <v>280</v>
      </c>
      <c r="L1" t="s">
        <v>282</v>
      </c>
      <c r="M1" t="s">
        <v>22</v>
      </c>
    </row>
    <row r="2" spans="1:13" x14ac:dyDescent="0.2">
      <c r="A2" t="s">
        <v>297</v>
      </c>
      <c r="B2" t="s">
        <v>54</v>
      </c>
      <c r="C2" t="str">
        <f>_xlfn.XLOOKUP(TblDispositon[[#This Row],[File_ID]], tbl_inventory[File_ID], tbl_inventory[Current_File_Path], "")</f>
        <v>\IPC\SharedDrive\IM\Migration_Staging\EducationOutcomes\</v>
      </c>
      <c r="D2" t="str">
        <f>_xlfn.XLOOKUP(TblDispositon[[#This Row],[File_ID]],tbl_inventory[File_ID], tbl_inventory[Current_File_Name], "")</f>
        <v>OntarioOpenData_EducationOutcomes_WORKING.xlsx</v>
      </c>
      <c r="E2" t="str">
        <f>_xlfn.XLOOKUP(TblDispositon[[#This Row],[File_ID]],tbl_inventory[File_ID], tbl_inventory[Contains_PII], "")</f>
        <v>No</v>
      </c>
      <c r="F2" t="str">
        <f>_xlfn.XLOOKUP(TblDispositon[[#This Row],[File_ID]],tbl_inventory[File_ID], tbl_inventory[Owners], )</f>
        <v xml:space="preserve">IM Lead </v>
      </c>
      <c r="G2" t="s">
        <v>325</v>
      </c>
      <c r="H2" t="str">
        <f>_xlfn.XLOOKUP(TblDispositon[[#This Row],[File_ID]],tbl_inventory[File_ID], tbl_inventory[Retention_Recommendation], "")</f>
        <v>Review</v>
      </c>
      <c r="I2" t="str">
        <f>_xlfn.XLOOKUP(TblDispositon[[#This Row],[File_ID]],tbl_inventory[File_ID], tbl_inventory[Disposition_Status], "")</f>
        <v>Pending Approval</v>
      </c>
      <c r="J2" t="str">
        <f>_xlfn.XLOOKUP(TblDispositon[[#This Row],[File_ID]],tbl_deadup[File_ID], tbl_deadup[Rationale], "")</f>
        <v>Primary working version used for cleaning and migration prep.</v>
      </c>
      <c r="K2" t="str">
        <f>_xlfn.XLOOKUP(TblDispositon[[#This Row],[File_ID]],tbl_deadup[File_ID], tbl_deadup[Approval_Required], "")</f>
        <v>No</v>
      </c>
      <c r="M2" t="str">
        <f>_xlfn.XLOOKUP(TblDispositon[[#This Row],[File_ID]],tbl_inventory[File_ID], tbl_inventory[Next_Steps], "")</f>
        <v>Confirm latest working version</v>
      </c>
    </row>
    <row r="3" spans="1:13" x14ac:dyDescent="0.2">
      <c r="A3" t="s">
        <v>299</v>
      </c>
      <c r="B3" t="s">
        <v>55</v>
      </c>
      <c r="C3" t="str">
        <f>_xlfn.XLOOKUP(TblDispositon[[#This Row],[File_ID]], tbl_inventory[File_ID], tbl_inventory[Current_File_Path], "")</f>
        <v>\IPC\SharedDrive\IM\Migration_Staging\EducationOutcomes\</v>
      </c>
      <c r="D3" t="str">
        <f>_xlfn.XLOOKUP(TblDispositon[[#This Row],[File_ID]],tbl_inventory[File_ID], tbl_inventory[Current_File_Name], "")</f>
        <v>OntarioOpenData_EducationOutcomes_WORKING_v2.xlsx</v>
      </c>
      <c r="E3" t="str">
        <f>_xlfn.XLOOKUP(TblDispositon[[#This Row],[File_ID]],tbl_inventory[File_ID], tbl_inventory[Contains_PII], "")</f>
        <v>No</v>
      </c>
      <c r="F3" t="str">
        <f>_xlfn.XLOOKUP(TblDispositon[[#This Row],[File_ID]],tbl_inventory[File_ID], tbl_inventory[Owners], )</f>
        <v>Policy Intern</v>
      </c>
      <c r="G3" t="s">
        <v>325</v>
      </c>
      <c r="H3" t="str">
        <f>_xlfn.XLOOKUP(TblDispositon[[#This Row],[File_ID]],tbl_inventory[File_ID], tbl_inventory[Retention_Recommendation], "")</f>
        <v>Dispose</v>
      </c>
      <c r="I3" t="str">
        <f>_xlfn.XLOOKUP(TblDispositon[[#This Row],[File_ID]],tbl_inventory[File_ID], tbl_inventory[Disposition_Status], "")</f>
        <v>Pending Approval</v>
      </c>
      <c r="J3" t="str">
        <f>_xlfn.XLOOKUP(TblDispositon[[#This Row],[File_ID]],tbl_deadup[File_ID], tbl_deadup[Rationale], "")</f>
        <v>Older draft working copy; superseded by most recent working file</v>
      </c>
      <c r="K3" t="str">
        <f>_xlfn.XLOOKUP(TblDispositon[[#This Row],[File_ID]],tbl_deadup[File_ID], tbl_deadup[Approval_Required], "")</f>
        <v>No</v>
      </c>
      <c r="M3" t="str">
        <f>_xlfn.XLOOKUP(TblDispositon[[#This Row],[File_ID]],tbl_inventory[File_ID], tbl_inventory[Next_Steps], "")</f>
        <v>Confirm not needed; dispose</v>
      </c>
    </row>
    <row r="4" spans="1:13" x14ac:dyDescent="0.2">
      <c r="A4" t="s">
        <v>300</v>
      </c>
      <c r="B4" t="s">
        <v>56</v>
      </c>
      <c r="C4" t="str">
        <f>_xlfn.XLOOKUP(TblDispositon[[#This Row],[File_ID]], tbl_inventory[File_ID], tbl_inventory[Current_File_Path], "")</f>
        <v>\IPC\SharedDrive\IM\Migration_Staging\EducationOutcomes\</v>
      </c>
      <c r="D4" t="str">
        <f>_xlfn.XLOOKUP(TblDispositon[[#This Row],[File_ID]],tbl_inventory[File_ID], tbl_inventory[Current_File_Name], "")</f>
        <v>OntarioOpenData_EducationOutcomes_FINAL.xlsx</v>
      </c>
      <c r="E4" t="str">
        <f>_xlfn.XLOOKUP(TblDispositon[[#This Row],[File_ID]],tbl_inventory[File_ID], tbl_inventory[Contains_PII], "")</f>
        <v>No</v>
      </c>
      <c r="F4" t="str">
        <f>_xlfn.XLOOKUP(TblDispositon[[#This Row],[File_ID]],tbl_inventory[File_ID], tbl_inventory[Owners], )</f>
        <v xml:space="preserve">IM Lead </v>
      </c>
      <c r="G4" t="s">
        <v>325</v>
      </c>
      <c r="H4" t="str">
        <f>_xlfn.XLOOKUP(TblDispositon[[#This Row],[File_ID]],tbl_inventory[File_ID], tbl_inventory[Retention_Recommendation], "")</f>
        <v>Keep</v>
      </c>
      <c r="I4" t="str">
        <f>_xlfn.XLOOKUP(TblDispositon[[#This Row],[File_ID]],tbl_inventory[File_ID], tbl_inventory[Disposition_Status], "")</f>
        <v>Not Started</v>
      </c>
      <c r="J4" t="str">
        <f>_xlfn.XLOOKUP(TblDispositon[[#This Row],[File_ID]],tbl_deadup[File_ID], tbl_deadup[Rationale], "")</f>
        <v>Final approved dataset; retain as authoritative version.</v>
      </c>
      <c r="K4" t="str">
        <f>_xlfn.XLOOKUP(TblDispositon[[#This Row],[File_ID]],tbl_deadup[File_ID], tbl_deadup[Approval_Required], "")</f>
        <v>No</v>
      </c>
      <c r="M4" t="str">
        <f>_xlfn.XLOOKUP(TblDispositon[[#This Row],[File_ID]],tbl_inventory[File_ID], tbl_inventory[Next_Steps], "")</f>
        <v>Use as authoritative version</v>
      </c>
    </row>
    <row r="5" spans="1:13" x14ac:dyDescent="0.2">
      <c r="A5" t="s">
        <v>301</v>
      </c>
      <c r="B5" t="s">
        <v>57</v>
      </c>
      <c r="C5" t="str">
        <f>_xlfn.XLOOKUP(TblDispositon[[#This Row],[File_ID]], tbl_inventory[File_ID], tbl_inventory[Current_File_Path], "")</f>
        <v>\IPC\SharedDrive\IM\Migration_Staging\EducationOutcomes\</v>
      </c>
      <c r="D5" t="str">
        <f>_xlfn.XLOOKUP(TblDispositon[[#This Row],[File_ID]],tbl_inventory[File_ID], tbl_inventory[Current_File_Name], "")</f>
        <v>OntarioOpenData_EducationOutcomes_FINAL(1).xlsx</v>
      </c>
      <c r="E5" t="str">
        <f>_xlfn.XLOOKUP(TblDispositon[[#This Row],[File_ID]],tbl_inventory[File_ID], tbl_inventory[Contains_PII], "")</f>
        <v>No</v>
      </c>
      <c r="F5" t="str">
        <f>_xlfn.XLOOKUP(TblDispositon[[#This Row],[File_ID]],tbl_inventory[File_ID], tbl_inventory[Owners], )</f>
        <v xml:space="preserve">IM Lead </v>
      </c>
      <c r="G5" t="s">
        <v>324</v>
      </c>
      <c r="H5" t="str">
        <f>_xlfn.XLOOKUP(TblDispositon[[#This Row],[File_ID]],tbl_inventory[File_ID], tbl_inventory[Retention_Recommendation], "")</f>
        <v>Dispose</v>
      </c>
      <c r="I5" t="str">
        <f>_xlfn.XLOOKUP(TblDispositon[[#This Row],[File_ID]],tbl_inventory[File_ID], tbl_inventory[Disposition_Status], "")</f>
        <v>Pending Approval</v>
      </c>
      <c r="J5" t="str">
        <f>_xlfn.XLOOKUP(TblDispositon[[#This Row],[File_ID]],tbl_deadup[File_ID], tbl_deadup[Rationale], "")</f>
        <v>Duplicate of authoritative FINAL dataset.</v>
      </c>
      <c r="K5" t="str">
        <f>_xlfn.XLOOKUP(TblDispositon[[#This Row],[File_ID]],tbl_deadup[File_ID], tbl_deadup[Approval_Required], "")</f>
        <v>No</v>
      </c>
      <c r="M5" t="str">
        <f>_xlfn.XLOOKUP(TblDispositon[[#This Row],[File_ID]],tbl_inventory[File_ID], tbl_inventory[Next_Steps], "")</f>
        <v>Remove duplicate final copy</v>
      </c>
    </row>
    <row r="6" spans="1:13" x14ac:dyDescent="0.2">
      <c r="A6" t="s">
        <v>302</v>
      </c>
      <c r="B6" t="s">
        <v>58</v>
      </c>
      <c r="C6" t="str">
        <f>_xlfn.XLOOKUP(TblDispositon[[#This Row],[File_ID]], tbl_inventory[File_ID], tbl_inventory[Current_File_Path], "")</f>
        <v>\IPC\SharedDrive\IM\Migration_Staging\EducationOutcomes\</v>
      </c>
      <c r="D6" t="str">
        <f>_xlfn.XLOOKUP(TblDispositon[[#This Row],[File_ID]],tbl_inventory[File_ID], tbl_inventory[Current_File_Name], "")</f>
        <v>EducationOutcomes_Notes_TEMP.xlsx</v>
      </c>
      <c r="E6" t="str">
        <f>_xlfn.XLOOKUP(TblDispositon[[#This Row],[File_ID]],tbl_inventory[File_ID], tbl_inventory[Contains_PII], "")</f>
        <v>No</v>
      </c>
      <c r="F6" t="str">
        <f>_xlfn.XLOOKUP(TblDispositon[[#This Row],[File_ID]],tbl_inventory[File_ID], tbl_inventory[Owners], )</f>
        <v>Policy Intern</v>
      </c>
      <c r="G6" t="s">
        <v>323</v>
      </c>
      <c r="H6" t="str">
        <f>_xlfn.XLOOKUP(TblDispositon[[#This Row],[File_ID]],tbl_inventory[File_ID], tbl_inventory[Retention_Recommendation], "")</f>
        <v>Dispose</v>
      </c>
      <c r="I6" t="str">
        <f>_xlfn.XLOOKUP(TblDispositon[[#This Row],[File_ID]],tbl_inventory[File_ID], tbl_inventory[Disposition_Status], "")</f>
        <v>Pending Owner</v>
      </c>
      <c r="J6" t="str">
        <f>_xlfn.XLOOKUP(TblDispositon[[#This Row],[File_ID]],tbl_deadup[File_ID], tbl_deadup[Rationale], "")</f>
        <v/>
      </c>
      <c r="K6" t="str">
        <f>_xlfn.XLOOKUP(TblDispositon[[#This Row],[File_ID]],tbl_deadup[File_ID], tbl_deadup[Approval_Required], "")</f>
        <v/>
      </c>
      <c r="M6" t="str">
        <f>_xlfn.XLOOKUP(TblDispositon[[#This Row],[File_ID]],tbl_inventory[File_ID], tbl_inventory[Next_Steps], "")</f>
        <v>Confirm notes needed; if not, dispose</v>
      </c>
    </row>
    <row r="7" spans="1:13" x14ac:dyDescent="0.2">
      <c r="A7" t="s">
        <v>303</v>
      </c>
      <c r="B7" t="s">
        <v>60</v>
      </c>
      <c r="C7" t="str">
        <f>_xlfn.XLOOKUP(TblDispositon[[#This Row],[File_ID]], tbl_inventory[File_ID], tbl_inventory[Current_File_Path], "")</f>
        <v>\IPC\SharedDrive\IM\Migration_Staging\EducationOutcomes\</v>
      </c>
      <c r="D7" t="str">
        <f>_xlfn.XLOOKUP(TblDispositon[[#This Row],[File_ID]],tbl_inventory[File_ID], tbl_inventory[Current_File_Name], "")</f>
        <v>Copy of OntarioOpenData_EducationOutcomes_WORKING.xlsx</v>
      </c>
      <c r="E7" t="str">
        <f>_xlfn.XLOOKUP(TblDispositon[[#This Row],[File_ID]],tbl_inventory[File_ID], tbl_inventory[Contains_PII], "")</f>
        <v>No</v>
      </c>
      <c r="G7" t="s">
        <v>322</v>
      </c>
      <c r="H7" t="str">
        <f>_xlfn.XLOOKUP(TblDispositon[[#This Row],[File_ID]],tbl_inventory[File_ID], tbl_inventory[Retention_Recommendation], "")</f>
        <v>Dispose</v>
      </c>
      <c r="I7" t="str">
        <f>_xlfn.XLOOKUP(TblDispositon[[#This Row],[File_ID]],tbl_inventory[File_ID], tbl_inventory[Disposition_Status], "")</f>
        <v>Pending Owner</v>
      </c>
      <c r="J7" t="str">
        <f>_xlfn.XLOOKUP(TblDispositon[[#This Row],[File_ID]],tbl_deadup[File_ID], tbl_deadup[Rationale], "")</f>
        <v>Orphan File</v>
      </c>
      <c r="K7" t="str">
        <f>_xlfn.XLOOKUP(TblDispositon[[#This Row],[File_ID]],tbl_deadup[File_ID], tbl_deadup[Approval_Required], "")</f>
        <v>Yes</v>
      </c>
      <c r="M7" t="str">
        <f>_xlfn.XLOOKUP(TblDispositon[[#This Row],[File_ID]],tbl_inventory[File_ID], tbl_inventory[Next_Steps], "")</f>
        <v>Identify owner; confirm disposal</v>
      </c>
    </row>
    <row r="8" spans="1:13" x14ac:dyDescent="0.2">
      <c r="A8" t="s">
        <v>304</v>
      </c>
      <c r="B8" t="s">
        <v>61</v>
      </c>
      <c r="C8" t="str">
        <f>_xlfn.XLOOKUP(TblDispositon[[#This Row],[File_ID]], tbl_inventory[File_ID], tbl_inventory[Current_File_Path], "")</f>
        <v>\IPC\SharedDrive\IM\Migration_Staging\EducationOutcomes\</v>
      </c>
      <c r="D8" t="str">
        <f>_xlfn.XLOOKUP(TblDispositon[[#This Row],[File_ID]],tbl_inventory[File_ID], tbl_inventory[Current_File_Name], "")</f>
        <v>EducationOutcomes_Export_ForSharePoint.xlsx</v>
      </c>
      <c r="E8" t="str">
        <f>_xlfn.XLOOKUP(TblDispositon[[#This Row],[File_ID]],tbl_inventory[File_ID], tbl_inventory[Contains_PII], "")</f>
        <v>No</v>
      </c>
      <c r="F8" t="str">
        <f>_xlfn.XLOOKUP(TblDispositon[[#This Row],[File_ID]],tbl_inventory[File_ID], tbl_inventory[Owners], )</f>
        <v>IT Coordinator</v>
      </c>
      <c r="G8" t="s">
        <v>324</v>
      </c>
      <c r="H8" t="str">
        <f>_xlfn.XLOOKUP(TblDispositon[[#This Row],[File_ID]],tbl_inventory[File_ID], tbl_inventory[Retention_Recommendation], "")</f>
        <v>Dispose</v>
      </c>
      <c r="I8" t="str">
        <f>_xlfn.XLOOKUP(TblDispositon[[#This Row],[File_ID]],tbl_inventory[File_ID], tbl_inventory[Disposition_Status], "")</f>
        <v>Pending Approval</v>
      </c>
      <c r="J8" t="str">
        <f>_xlfn.XLOOKUP(TblDispositon[[#This Row],[File_ID]],tbl_deadup[File_ID], tbl_deadup[Rationale], "")</f>
        <v>Older export superseded by v3</v>
      </c>
      <c r="K8" t="str">
        <f>_xlfn.XLOOKUP(TblDispositon[[#This Row],[File_ID]],tbl_deadup[File_ID], tbl_deadup[Approval_Required], "")</f>
        <v>No</v>
      </c>
      <c r="M8" t="str">
        <f>_xlfn.XLOOKUP(TblDispositon[[#This Row],[File_ID]],tbl_inventory[File_ID], tbl_inventory[Next_Steps], "")</f>
        <v>Older export superseded by v3; dispose after approval.</v>
      </c>
    </row>
    <row r="9" spans="1:13" x14ac:dyDescent="0.2">
      <c r="A9" t="s">
        <v>305</v>
      </c>
      <c r="B9" t="s">
        <v>66</v>
      </c>
      <c r="C9" t="str">
        <f>_xlfn.XLOOKUP(TblDispositon[[#This Row],[File_ID]], tbl_inventory[File_ID], tbl_inventory[Current_File_Path], "")</f>
        <v>\IPC\SharedDrive\Reporting\Dashboards\EducationOutcomes\</v>
      </c>
      <c r="D9" t="str">
        <f>_xlfn.XLOOKUP(TblDispositon[[#This Row],[File_ID]],tbl_inventory[File_ID], tbl_inventory[Current_File_Name], "")</f>
        <v>Board_Outcomes_Dashboard_DRAFT.pptx</v>
      </c>
      <c r="E9" t="str">
        <f>_xlfn.XLOOKUP(TblDispositon[[#This Row],[File_ID]],tbl_inventory[File_ID], tbl_inventory[Contains_PII], "")</f>
        <v>No</v>
      </c>
      <c r="F9" t="str">
        <f>_xlfn.XLOOKUP(TblDispositon[[#This Row],[File_ID]],tbl_inventory[File_ID], tbl_inventory[Owners], )</f>
        <v>Program Advisor</v>
      </c>
      <c r="G9" t="s">
        <v>324</v>
      </c>
      <c r="H9" t="str">
        <f>_xlfn.XLOOKUP(TblDispositon[[#This Row],[File_ID]],tbl_inventory[File_ID], tbl_inventory[Retention_Recommendation], "")</f>
        <v>Review</v>
      </c>
      <c r="I9" t="str">
        <f>_xlfn.XLOOKUP(TblDispositon[[#This Row],[File_ID]],tbl_inventory[File_ID], tbl_inventory[Disposition_Status], "")</f>
        <v>Pending Approval</v>
      </c>
      <c r="J9" t="str">
        <f>_xlfn.XLOOKUP(TblDispositon[[#This Row],[File_ID]],tbl_deadup[File_ID], tbl_deadup[Rationale], "")</f>
        <v/>
      </c>
      <c r="K9" t="str">
        <f>_xlfn.XLOOKUP(TblDispositon[[#This Row],[File_ID]],tbl_deadup[File_ID], tbl_deadup[Approval_Required], "")</f>
        <v/>
      </c>
      <c r="M9" t="str">
        <f>_xlfn.XLOOKUP(TblDispositon[[#This Row],[File_ID]],tbl_inventory[File_ID], tbl_inventory[Next_Steps], "")</f>
        <v>Confirm if draft is needed</v>
      </c>
    </row>
    <row r="10" spans="1:13" x14ac:dyDescent="0.2">
      <c r="A10" t="s">
        <v>306</v>
      </c>
      <c r="B10" t="s">
        <v>67</v>
      </c>
      <c r="C10" t="str">
        <f>_xlfn.XLOOKUP(TblDispositon[[#This Row],[File_ID]], tbl_inventory[File_ID], tbl_inventory[Current_File_Path], "")</f>
        <v>\IPC\SharedDrive\Reporting\Dashboards\EducationOutcomes\</v>
      </c>
      <c r="D10" t="str">
        <f>_xlfn.XLOOKUP(TblDispositon[[#This Row],[File_ID]],tbl_inventory[File_ID], tbl_inventory[Current_File_Name], "")</f>
        <v>Board_Outcomes_Dashboard_FINAL.pptx</v>
      </c>
      <c r="E10" t="str">
        <f>_xlfn.XLOOKUP(TblDispositon[[#This Row],[File_ID]],tbl_inventory[File_ID], tbl_inventory[Contains_PII], "")</f>
        <v>No</v>
      </c>
      <c r="F10" t="str">
        <f>_xlfn.XLOOKUP(TblDispositon[[#This Row],[File_ID]],tbl_inventory[File_ID], tbl_inventory[Owners], )</f>
        <v>Program Advisor</v>
      </c>
      <c r="G10" t="s">
        <v>325</v>
      </c>
      <c r="H10" t="str">
        <f>_xlfn.XLOOKUP(TblDispositon[[#This Row],[File_ID]],tbl_inventory[File_ID], tbl_inventory[Retention_Recommendation], "")</f>
        <v>Review</v>
      </c>
      <c r="I10" t="str">
        <f>_xlfn.XLOOKUP(TblDispositon[[#This Row],[File_ID]],tbl_inventory[File_ID], tbl_inventory[Disposition_Status], "")</f>
        <v>Pending Approval</v>
      </c>
      <c r="J10" t="str">
        <f>_xlfn.XLOOKUP(TblDispositon[[#This Row],[File_ID]],tbl_deadup[File_ID], tbl_deadup[Rationale], "")</f>
        <v>Older draft working copy; superseded by most recent working file</v>
      </c>
      <c r="K10" t="str">
        <f>_xlfn.XLOOKUP(TblDispositon[[#This Row],[File_ID]],tbl_deadup[File_ID], tbl_deadup[Approval_Required], "")</f>
        <v>Yes</v>
      </c>
      <c r="M10" t="str">
        <f>_xlfn.XLOOKUP(TblDispositon[[#This Row],[File_ID]],tbl_inventory[File_ID], tbl_inventory[Next_Steps], "")</f>
        <v>Confirm which final is authoritative</v>
      </c>
    </row>
    <row r="11" spans="1:13" x14ac:dyDescent="0.2">
      <c r="A11" t="s">
        <v>307</v>
      </c>
      <c r="B11" t="s">
        <v>68</v>
      </c>
      <c r="C11" t="str">
        <f>_xlfn.XLOOKUP(TblDispositon[[#This Row],[File_ID]], tbl_inventory[File_ID], tbl_inventory[Current_File_Path], "")</f>
        <v>\IPC\SharedDrive\Reporting\Dashboards\EducationOutcomes\</v>
      </c>
      <c r="D11" t="str">
        <f>_xlfn.XLOOKUP(TblDispositon[[#This Row],[File_ID]],tbl_inventory[File_ID], tbl_inventory[Current_File_Name], "")</f>
        <v>EQAO_OSSLT_GradRates_SummaryTable.xlsx</v>
      </c>
      <c r="E11" t="str">
        <f>_xlfn.XLOOKUP(TblDispositon[[#This Row],[File_ID]],tbl_inventory[File_ID], tbl_inventory[Contains_PII], "")</f>
        <v>No</v>
      </c>
      <c r="F11" t="str">
        <f>_xlfn.XLOOKUP(TblDispositon[[#This Row],[File_ID]],tbl_inventory[File_ID], tbl_inventory[Owners], )</f>
        <v>Policy Intern</v>
      </c>
      <c r="G11" t="s">
        <v>325</v>
      </c>
      <c r="H11" t="str">
        <f>_xlfn.XLOOKUP(TblDispositon[[#This Row],[File_ID]],tbl_inventory[File_ID], tbl_inventory[Retention_Recommendation], "")</f>
        <v>Dispose</v>
      </c>
      <c r="I11" t="str">
        <f>_xlfn.XLOOKUP(TblDispositon[[#This Row],[File_ID]],tbl_inventory[File_ID], tbl_inventory[Disposition_Status], "")</f>
        <v>Pending Approval</v>
      </c>
      <c r="J11" t="str">
        <f>_xlfn.XLOOKUP(TblDispositon[[#This Row],[File_ID]],tbl_deadup[File_ID], tbl_deadup[Rationale], "")</f>
        <v>Draft superseded by FINAL summary table.</v>
      </c>
      <c r="K11" t="str">
        <f>_xlfn.XLOOKUP(TblDispositon[[#This Row],[File_ID]],tbl_deadup[File_ID], tbl_deadup[Approval_Required], "")</f>
        <v>No</v>
      </c>
      <c r="M11" t="str">
        <f>_xlfn.XLOOKUP(TblDispositon[[#This Row],[File_ID]],tbl_inventory[File_ID], tbl_inventory[Next_Steps], "")</f>
        <v>Confirm superseded by final</v>
      </c>
    </row>
    <row r="12" spans="1:13" x14ac:dyDescent="0.2">
      <c r="A12" t="s">
        <v>308</v>
      </c>
      <c r="B12" t="s">
        <v>71</v>
      </c>
      <c r="C12" t="str">
        <f>_xlfn.XLOOKUP(TblDispositon[[#This Row],[File_ID]], tbl_inventory[File_ID], tbl_inventory[Current_File_Path], "")</f>
        <v>\IPC\SharedDrive\Reporting\Dashboards\EducationOutcomes\</v>
      </c>
      <c r="D12" t="str">
        <f>_xlfn.XLOOKUP(TblDispositon[[#This Row],[File_ID]],tbl_inventory[File_ID], tbl_inventory[Current_File_Name], "")</f>
        <v>Charts_ForBriefing_TEMP.xlsx</v>
      </c>
      <c r="E12" t="str">
        <f>_xlfn.XLOOKUP(TblDispositon[[#This Row],[File_ID]],tbl_inventory[File_ID], tbl_inventory[Contains_PII], "")</f>
        <v>No</v>
      </c>
      <c r="F12" t="str">
        <f>_xlfn.XLOOKUP(TblDispositon[[#This Row],[File_ID]],tbl_inventory[File_ID], tbl_inventory[Owners], )</f>
        <v>Policy Intern</v>
      </c>
      <c r="G12" t="s">
        <v>323</v>
      </c>
      <c r="H12" t="str">
        <f>_xlfn.XLOOKUP(TblDispositon[[#This Row],[File_ID]],tbl_inventory[File_ID], tbl_inventory[Retention_Recommendation], "")</f>
        <v>Dispose</v>
      </c>
      <c r="I12" t="str">
        <f>_xlfn.XLOOKUP(TblDispositon[[#This Row],[File_ID]],tbl_inventory[File_ID], tbl_inventory[Disposition_Status], "")</f>
        <v>Pending Approval</v>
      </c>
      <c r="J12" t="str">
        <f>_xlfn.XLOOKUP(TblDispositon[[#This Row],[File_ID]],tbl_deadup[File_ID], tbl_deadup[Rationale], "")</f>
        <v/>
      </c>
      <c r="K12" t="str">
        <f>_xlfn.XLOOKUP(TblDispositon[[#This Row],[File_ID]],tbl_deadup[File_ID], tbl_deadup[Approval_Required], "")</f>
        <v/>
      </c>
      <c r="M12" t="str">
        <f>_xlfn.XLOOKUP(TblDispositon[[#This Row],[File_ID]],tbl_inventory[File_ID], tbl_inventory[Next_Steps], "")</f>
        <v>Dispose after briefing</v>
      </c>
    </row>
    <row r="13" spans="1:13" x14ac:dyDescent="0.2">
      <c r="A13" t="s">
        <v>309</v>
      </c>
      <c r="B13" t="s">
        <v>72</v>
      </c>
      <c r="C13" t="str">
        <f>_xlfn.XLOOKUP(TblDispositon[[#This Row],[File_ID]], tbl_inventory[File_ID], tbl_inventory[Current_File_Path], "")</f>
        <v>\IPC\SharedDrive\Reporting\Dashboards\EducationOutcomes\</v>
      </c>
      <c r="D13" t="str">
        <f>_xlfn.XLOOKUP(TblDispositon[[#This Row],[File_ID]],tbl_inventory[File_ID], tbl_inventory[Current_File_Name], "")</f>
        <v>Outcomes_BriefingNote_DRAFT.docx</v>
      </c>
      <c r="E13" t="str">
        <f>_xlfn.XLOOKUP(TblDispositon[[#This Row],[File_ID]],tbl_inventory[File_ID], tbl_inventory[Contains_PII], "")</f>
        <v>No</v>
      </c>
      <c r="F13" t="str">
        <f>_xlfn.XLOOKUP(TblDispositon[[#This Row],[File_ID]],tbl_inventory[File_ID], tbl_inventory[Owners], )</f>
        <v>Program Advisor</v>
      </c>
      <c r="G13" t="s">
        <v>324</v>
      </c>
      <c r="H13" t="str">
        <f>_xlfn.XLOOKUP(TblDispositon[[#This Row],[File_ID]],tbl_inventory[File_ID], tbl_inventory[Retention_Recommendation], "")</f>
        <v>Review</v>
      </c>
      <c r="I13" t="str">
        <f>_xlfn.XLOOKUP(TblDispositon[[#This Row],[File_ID]],tbl_inventory[File_ID], tbl_inventory[Disposition_Status], "")</f>
        <v>Pending Approval</v>
      </c>
      <c r="J13" t="str">
        <f>_xlfn.XLOOKUP(TblDispositon[[#This Row],[File_ID]],tbl_deadup[File_ID], tbl_deadup[Rationale], "")</f>
        <v/>
      </c>
      <c r="K13" t="str">
        <f>_xlfn.XLOOKUP(TblDispositon[[#This Row],[File_ID]],tbl_deadup[File_ID], tbl_deadup[Approval_Required], "")</f>
        <v/>
      </c>
      <c r="M13" t="str">
        <f>_xlfn.XLOOKUP(TblDispositon[[#This Row],[File_ID]],tbl_inventory[File_ID], tbl_inventory[Next_Steps], "")</f>
        <v>Confirm if briefing note finalized</v>
      </c>
    </row>
    <row r="14" spans="1:13" x14ac:dyDescent="0.2">
      <c r="A14" t="s">
        <v>310</v>
      </c>
      <c r="B14" t="s">
        <v>73</v>
      </c>
      <c r="C14" t="str">
        <f>_xlfn.XLOOKUP(TblDispositon[[#This Row],[File_ID]], tbl_inventory[File_ID], tbl_inventory[Current_File_Path], "")</f>
        <v>\IPC\SharedDrive\RecordsManagement\Disposition_and_Retention\</v>
      </c>
      <c r="D14" t="str">
        <f>_xlfn.XLOOKUP(TblDispositon[[#This Row],[File_ID]],tbl_inventory[File_ID], tbl_inventory[Current_File_Name], "")</f>
        <v>Disposition_List_2025_DRAFT.xlsx</v>
      </c>
      <c r="E14" t="str">
        <f>_xlfn.XLOOKUP(TblDispositon[[#This Row],[File_ID]],tbl_inventory[File_ID], tbl_inventory[Contains_PII], "")</f>
        <v>No</v>
      </c>
      <c r="F14" t="str">
        <f>_xlfn.XLOOKUP(TblDispositon[[#This Row],[File_ID]],tbl_inventory[File_ID], tbl_inventory[Owners], )</f>
        <v xml:space="preserve">Records Analyst </v>
      </c>
      <c r="G14" t="s">
        <v>324</v>
      </c>
      <c r="H14" t="str">
        <f>_xlfn.XLOOKUP(TblDispositon[[#This Row],[File_ID]],tbl_inventory[File_ID], tbl_inventory[Retention_Recommendation], "")</f>
        <v>Review</v>
      </c>
      <c r="I14" t="str">
        <f>_xlfn.XLOOKUP(TblDispositon[[#This Row],[File_ID]],tbl_inventory[File_ID], tbl_inventory[Disposition_Status], "")</f>
        <v>Pending Approval</v>
      </c>
      <c r="J14" t="str">
        <f>_xlfn.XLOOKUP(TblDispositon[[#This Row],[File_ID]],tbl_deadup[File_ID], tbl_deadup[Rationale], "")</f>
        <v/>
      </c>
      <c r="K14" t="str">
        <f>_xlfn.XLOOKUP(TblDispositon[[#This Row],[File_ID]],tbl_deadup[File_ID], tbl_deadup[Approval_Required], "")</f>
        <v/>
      </c>
      <c r="M14" t="str">
        <f>_xlfn.XLOOKUP(TblDispositon[[#This Row],[File_ID]],tbl_inventory[File_ID], tbl_inventory[Next_Steps], "")</f>
        <v>Confirm if replaced by final</v>
      </c>
    </row>
    <row r="15" spans="1:13" x14ac:dyDescent="0.2">
      <c r="A15" t="s">
        <v>311</v>
      </c>
      <c r="B15" t="s">
        <v>75</v>
      </c>
      <c r="C15" t="str">
        <f>_xlfn.XLOOKUP(TblDispositon[[#This Row],[File_ID]], tbl_inventory[File_ID], tbl_inventory[Current_File_Path], "")</f>
        <v>\IPC\SharedDrive\RecordsManagement\Disposition_and_Retention\</v>
      </c>
      <c r="D15" t="str">
        <f>_xlfn.XLOOKUP(TblDispositon[[#This Row],[File_ID]],tbl_inventory[File_ID], tbl_inventory[Current_File_Name], "")</f>
        <v>Disposition_List_2025_FINAL(1).xlsx</v>
      </c>
      <c r="E15" t="str">
        <f>_xlfn.XLOOKUP(TblDispositon[[#This Row],[File_ID]],tbl_inventory[File_ID], tbl_inventory[Contains_PII], "")</f>
        <v>No</v>
      </c>
      <c r="F15" t="str">
        <f>_xlfn.XLOOKUP(TblDispositon[[#This Row],[File_ID]],tbl_inventory[File_ID], tbl_inventory[Owners], )</f>
        <v xml:space="preserve">Records Analyst </v>
      </c>
      <c r="G15" t="s">
        <v>321</v>
      </c>
      <c r="H15" t="str">
        <f>_xlfn.XLOOKUP(TblDispositon[[#This Row],[File_ID]],tbl_inventory[File_ID], tbl_inventory[Retention_Recommendation], "")</f>
        <v>Dispose</v>
      </c>
      <c r="I15" t="str">
        <f>_xlfn.XLOOKUP(TblDispositon[[#This Row],[File_ID]],tbl_inventory[File_ID], tbl_inventory[Disposition_Status], "")</f>
        <v>Pending Approval</v>
      </c>
      <c r="J15" t="str">
        <f>_xlfn.XLOOKUP(TblDispositon[[#This Row],[File_ID]],tbl_deadup[File_ID], tbl_deadup[Rationale], "")</f>
        <v xml:space="preserve">Draft superseeded by final; no retention value </v>
      </c>
      <c r="K15" t="str">
        <f>_xlfn.XLOOKUP(TblDispositon[[#This Row],[File_ID]],tbl_deadup[File_ID], tbl_deadup[Approval_Required], "")</f>
        <v>No</v>
      </c>
      <c r="M15" t="str">
        <f>_xlfn.XLOOKUP(TblDispositon[[#This Row],[File_ID]],tbl_inventory[File_ID], tbl_inventory[Next_Steps], "")</f>
        <v>Remove duplicate final copy</v>
      </c>
    </row>
    <row r="16" spans="1:13" x14ac:dyDescent="0.2">
      <c r="A16" t="s">
        <v>312</v>
      </c>
      <c r="B16" t="s">
        <v>77</v>
      </c>
      <c r="C16" t="str">
        <f>_xlfn.XLOOKUP(TblDispositon[[#This Row],[File_ID]], tbl_inventory[File_ID], tbl_inventory[Current_File_Path], "")</f>
        <v>\IPC\SharedDrive\RecordsManagement\Disposition_and_Retention\</v>
      </c>
      <c r="D16" t="str">
        <f>_xlfn.XLOOKUP(TblDispositon[[#This Row],[File_ID]],tbl_inventory[File_ID], tbl_inventory[Current_File_Name], "")</f>
        <v>File_Naming_Convention_v1.docx</v>
      </c>
      <c r="E16" t="str">
        <f>_xlfn.XLOOKUP(TblDispositon[[#This Row],[File_ID]],tbl_inventory[File_ID], tbl_inventory[Contains_PII], "")</f>
        <v>No</v>
      </c>
      <c r="F16" t="str">
        <f>_xlfn.XLOOKUP(TblDispositon[[#This Row],[File_ID]],tbl_inventory[File_ID], tbl_inventory[Owners], )</f>
        <v xml:space="preserve">IM Lead </v>
      </c>
      <c r="G16" t="s">
        <v>325</v>
      </c>
      <c r="H16" t="str">
        <f>_xlfn.XLOOKUP(TblDispositon[[#This Row],[File_ID]],tbl_inventory[File_ID], tbl_inventory[Retention_Recommendation], "")</f>
        <v>Dispose</v>
      </c>
      <c r="I16" t="str">
        <f>_xlfn.XLOOKUP(TblDispositon[[#This Row],[File_ID]],tbl_inventory[File_ID], tbl_inventory[Disposition_Status], "")</f>
        <v>Pending Approval</v>
      </c>
      <c r="J16" t="str">
        <f>_xlfn.XLOOKUP(TblDispositon[[#This Row],[File_ID]],tbl_deadup[File_ID], tbl_deadup[Rationale], "")</f>
        <v xml:space="preserve">Outdated naming convention; no retention value </v>
      </c>
      <c r="K16" t="str">
        <f>_xlfn.XLOOKUP(TblDispositon[[#This Row],[File_ID]],tbl_deadup[File_ID], tbl_deadup[Approval_Required], "")</f>
        <v>No</v>
      </c>
      <c r="M16" t="str">
        <f>_xlfn.XLOOKUP(TblDispositon[[#This Row],[File_ID]],tbl_inventory[File_ID], tbl_inventory[Next_Steps], "")</f>
        <v>Confirm superseded by final</v>
      </c>
    </row>
    <row r="17" spans="1:13" x14ac:dyDescent="0.2">
      <c r="A17" t="s">
        <v>313</v>
      </c>
      <c r="B17" t="s">
        <v>79</v>
      </c>
      <c r="C17" t="str">
        <f>_xlfn.XLOOKUP(TblDispositon[[#This Row],[File_ID]], tbl_inventory[File_ID], tbl_inventory[Current_File_Path], "")</f>
        <v>\IPC\SharedDrive\RecordsManagement\Disposition_and_Retention\</v>
      </c>
      <c r="D17" t="str">
        <f>_xlfn.XLOOKUP(TblDispositon[[#This Row],[File_ID]],tbl_inventory[File_ID], tbl_inventory[Current_File_Name], "")</f>
        <v>SharePoint_Inventory_Template.xlsx</v>
      </c>
      <c r="E17" t="str">
        <f>_xlfn.XLOOKUP(TblDispositon[[#This Row],[File_ID]],tbl_inventory[File_ID], tbl_inventory[Contains_PII], "")</f>
        <v>No</v>
      </c>
      <c r="F17" t="str">
        <f>_xlfn.XLOOKUP(TblDispositon[[#This Row],[File_ID]],tbl_inventory[File_ID], tbl_inventory[Owners], )</f>
        <v>IT Coordinator</v>
      </c>
      <c r="G17" t="s">
        <v>324</v>
      </c>
      <c r="H17" t="str">
        <f>_xlfn.XLOOKUP(TblDispositon[[#This Row],[File_ID]],tbl_inventory[File_ID], tbl_inventory[Retention_Recommendation], "")</f>
        <v>Review</v>
      </c>
      <c r="I17" t="str">
        <f>_xlfn.XLOOKUP(TblDispositon[[#This Row],[File_ID]],tbl_inventory[File_ID], tbl_inventory[Disposition_Status], "")</f>
        <v>Pending Approval</v>
      </c>
      <c r="J17" t="str">
        <f>_xlfn.XLOOKUP(TblDispositon[[#This Row],[File_ID]],tbl_deadup[File_ID], tbl_deadup[Rationale], "")</f>
        <v>Older SharePoint inventory template; superseded by updated version.</v>
      </c>
      <c r="K17" t="str">
        <f>_xlfn.XLOOKUP(TblDispositon[[#This Row],[File_ID]],tbl_deadup[File_ID], tbl_deadup[Approval_Required], "")</f>
        <v>No</v>
      </c>
      <c r="M17" t="str">
        <f>_xlfn.XLOOKUP(TblDispositon[[#This Row],[File_ID]],tbl_inventory[File_ID], tbl_inventory[Next_Steps], "")</f>
        <v>Confirm latest template version</v>
      </c>
    </row>
    <row r="18" spans="1:13" x14ac:dyDescent="0.2">
      <c r="A18" t="s">
        <v>314</v>
      </c>
      <c r="B18" t="s">
        <v>83</v>
      </c>
      <c r="C18" t="str">
        <f>_xlfn.XLOOKUP(TblDispositon[[#This Row],[File_ID]], tbl_inventory[File_ID], tbl_inventory[Current_File_Path], "")</f>
        <v>\IPC\SharedDrive\CorporateServices\Operations_and_Intake\</v>
      </c>
      <c r="D18" t="str">
        <f>_xlfn.XLOOKUP(TblDispositon[[#This Row],[File_ID]],tbl_inventory[File_ID], tbl_inventory[Current_File_Name], "")</f>
        <v>Intake_Tracker_TEMP.xlsx</v>
      </c>
      <c r="E18" t="str">
        <f>_xlfn.XLOOKUP(TblDispositon[[#This Row],[File_ID]],tbl_inventory[File_ID], tbl_inventory[Contains_PII], "")</f>
        <v>No</v>
      </c>
      <c r="F18" t="str">
        <f>_xlfn.XLOOKUP(TblDispositon[[#This Row],[File_ID]],tbl_inventory[File_ID], tbl_inventory[Owners], )</f>
        <v>Policy Intern</v>
      </c>
      <c r="G18" t="s">
        <v>323</v>
      </c>
      <c r="H18" t="str">
        <f>_xlfn.XLOOKUP(TblDispositon[[#This Row],[File_ID]],tbl_inventory[File_ID], tbl_inventory[Retention_Recommendation], "")</f>
        <v>Dispose</v>
      </c>
      <c r="I18" t="str">
        <f>_xlfn.XLOOKUP(TblDispositon[[#This Row],[File_ID]],tbl_inventory[File_ID], tbl_inventory[Disposition_Status], "")</f>
        <v>Pending Approval</v>
      </c>
      <c r="J18" t="str">
        <f>_xlfn.XLOOKUP(TblDispositon[[#This Row],[File_ID]],tbl_deadup[File_ID], tbl_deadup[Rationale], "")</f>
        <v/>
      </c>
      <c r="K18" t="str">
        <f>_xlfn.XLOOKUP(TblDispositon[[#This Row],[File_ID]],tbl_deadup[File_ID], tbl_deadup[Approval_Required], "")</f>
        <v/>
      </c>
      <c r="M18" t="str">
        <f>_xlfn.XLOOKUP(TblDispositon[[#This Row],[File_ID]],tbl_inventory[File_ID], tbl_inventory[Next_Steps], "")</f>
        <v>Dispose after confirming not required</v>
      </c>
    </row>
    <row r="19" spans="1:13" x14ac:dyDescent="0.2">
      <c r="A19" t="s">
        <v>315</v>
      </c>
      <c r="B19" t="s">
        <v>84</v>
      </c>
      <c r="C19" t="str">
        <f>_xlfn.XLOOKUP(TblDispositon[[#This Row],[File_ID]], tbl_inventory[File_ID], tbl_inventory[Current_File_Path], "")</f>
        <v>\IPC\SharedDrive\CorporateServices\Operations_and_Intake\</v>
      </c>
      <c r="D19" t="str">
        <f>_xlfn.XLOOKUP(TblDispositon[[#This Row],[File_ID]],tbl_inventory[File_ID], tbl_inventory[Current_File_Name], "")</f>
        <v>Intake_Tracker.xlsx</v>
      </c>
      <c r="E19" t="str">
        <f>_xlfn.XLOOKUP(TblDispositon[[#This Row],[File_ID]],tbl_inventory[File_ID], tbl_inventory[Contains_PII], "")</f>
        <v>No</v>
      </c>
      <c r="F19" t="str">
        <f>_xlfn.XLOOKUP(TblDispositon[[#This Row],[File_ID]],tbl_inventory[File_ID], tbl_inventory[Owners], )</f>
        <v>Corporate Services Manger</v>
      </c>
      <c r="G19" t="s">
        <v>325</v>
      </c>
      <c r="H19" t="str">
        <f>_xlfn.XLOOKUP(TblDispositon[[#This Row],[File_ID]],tbl_inventory[File_ID], tbl_inventory[Retention_Recommendation], "")</f>
        <v>Review</v>
      </c>
      <c r="I19" t="str">
        <f>_xlfn.XLOOKUP(TblDispositon[[#This Row],[File_ID]],tbl_inventory[File_ID], tbl_inventory[Disposition_Status], "")</f>
        <v>Pending Approval</v>
      </c>
      <c r="J19" t="str">
        <f>_xlfn.XLOOKUP(TblDispositon[[#This Row],[File_ID]],tbl_deadup[File_ID], tbl_deadup[Rationale], "")</f>
        <v>Superseded by updated tracker; retain only latest.</v>
      </c>
      <c r="K19" t="str">
        <f>_xlfn.XLOOKUP(TblDispositon[[#This Row],[File_ID]],tbl_deadup[File_ID], tbl_deadup[Approval_Required], "")</f>
        <v>No</v>
      </c>
      <c r="M19" t="str">
        <f>_xlfn.XLOOKUP(TblDispositon[[#This Row],[File_ID]],tbl_inventory[File_ID], tbl_inventory[Next_Steps], "")</f>
        <v>Confirm if superseded by updated version</v>
      </c>
    </row>
    <row r="20" spans="1:13" x14ac:dyDescent="0.2">
      <c r="A20" t="s">
        <v>316</v>
      </c>
      <c r="B20" t="s">
        <v>88</v>
      </c>
      <c r="C20" t="str">
        <f>_xlfn.XLOOKUP(TblDispositon[[#This Row],[File_ID]], tbl_inventory[File_ID], tbl_inventory[Current_File_Path], "")</f>
        <v>\IPC\SharedDrive\CorporateServices\Operations_and_Intake\</v>
      </c>
      <c r="D20" t="str">
        <f>_xlfn.XLOOKUP(TblDispositon[[#This Row],[File_ID]],tbl_inventory[File_ID], tbl_inventory[Current_File_Name], "")</f>
        <v>Approval_Email_Export.msg</v>
      </c>
      <c r="E20" t="str">
        <f>_xlfn.XLOOKUP(TblDispositon[[#This Row],[File_ID]],tbl_inventory[File_ID], tbl_inventory[Contains_PII], "")</f>
        <v>No</v>
      </c>
      <c r="F20" t="str">
        <f>_xlfn.XLOOKUP(TblDispositon[[#This Row],[File_ID]],tbl_inventory[File_ID], tbl_inventory[Owners], )</f>
        <v xml:space="preserve">IM Lead </v>
      </c>
      <c r="G20" t="s">
        <v>257</v>
      </c>
      <c r="H20" t="str">
        <f>_xlfn.XLOOKUP(TblDispositon[[#This Row],[File_ID]],tbl_inventory[File_ID], tbl_inventory[Retention_Recommendation], "")</f>
        <v>Keep</v>
      </c>
      <c r="I20" t="str">
        <f>_xlfn.XLOOKUP(TblDispositon[[#This Row],[File_ID]],tbl_inventory[File_ID], tbl_inventory[Disposition_Status], "")</f>
        <v>Not Started</v>
      </c>
      <c r="J20" t="str">
        <f>_xlfn.XLOOKUP(TblDispositon[[#This Row],[File_ID]],tbl_deadup[File_ID], tbl_deadup[Rationale], "")</f>
        <v>Single retained approval copy for audit trail</v>
      </c>
      <c r="K20" t="str">
        <f>_xlfn.XLOOKUP(TblDispositon[[#This Row],[File_ID]],tbl_deadup[File_ID], tbl_deadup[Approval_Required], "")</f>
        <v>No</v>
      </c>
      <c r="M20" t="str">
        <f>_xlfn.XLOOKUP(TblDispositon[[#This Row],[File_ID]],tbl_inventory[File_ID], tbl_inventory[Next_Steps], "")</f>
        <v>Confirm required as record; retain 1 copy</v>
      </c>
    </row>
    <row r="21" spans="1:13" x14ac:dyDescent="0.2">
      <c r="A21" t="s">
        <v>317</v>
      </c>
      <c r="B21" t="s">
        <v>89</v>
      </c>
      <c r="C21" t="str">
        <f>_xlfn.XLOOKUP(TblDispositon[[#This Row],[File_ID]], tbl_inventory[File_ID], tbl_inventory[Current_File_Path], "")</f>
        <v>\IPC\SharedDrive\CorporateServices\Operations_and_Intake\</v>
      </c>
      <c r="D21" t="str">
        <f>_xlfn.XLOOKUP(TblDispositon[[#This Row],[File_ID]],tbl_inventory[File_ID], tbl_inventory[Current_File_Name], "")</f>
        <v>Approval_Email_Export(1).msg</v>
      </c>
      <c r="E21" t="str">
        <f>_xlfn.XLOOKUP(TblDispositon[[#This Row],[File_ID]],tbl_inventory[File_ID], tbl_inventory[Contains_PII], "")</f>
        <v>No</v>
      </c>
      <c r="G21" t="s">
        <v>321</v>
      </c>
      <c r="H21" t="str">
        <f>_xlfn.XLOOKUP(TblDispositon[[#This Row],[File_ID]],tbl_inventory[File_ID], tbl_inventory[Retention_Recommendation], "")</f>
        <v>Dispose</v>
      </c>
      <c r="I21" t="str">
        <f>_xlfn.XLOOKUP(TblDispositon[[#This Row],[File_ID]],tbl_inventory[File_ID], tbl_inventory[Disposition_Status], "")</f>
        <v>Pending Approval</v>
      </c>
      <c r="J21" t="str">
        <f>_xlfn.XLOOKUP(TblDispositon[[#This Row],[File_ID]],tbl_deadup[File_ID], tbl_deadup[Rationale], "")</f>
        <v>Duplicate export; non-unique</v>
      </c>
      <c r="K21" t="str">
        <f>_xlfn.XLOOKUP(TblDispositon[[#This Row],[File_ID]],tbl_deadup[File_ID], tbl_deadup[Approval_Required], "")</f>
        <v>Yes</v>
      </c>
      <c r="M21" t="str">
        <f>_xlfn.XLOOKUP(TblDispositon[[#This Row],[File_ID]],tbl_inventory[File_ID], tbl_inventory[Next_Steps], "")</f>
        <v>Dispose duplicate email export</v>
      </c>
    </row>
    <row r="22" spans="1:13" x14ac:dyDescent="0.2">
      <c r="A22" t="s">
        <v>318</v>
      </c>
      <c r="B22" t="s">
        <v>90</v>
      </c>
      <c r="C22" t="str">
        <f>_xlfn.XLOOKUP(TblDispositon[[#This Row],[File_ID]], tbl_inventory[File_ID], tbl_inventory[Current_File_Path], "")</f>
        <v>\IPC\SharedDrive\CorporateServices\Operations_and_Intake\</v>
      </c>
      <c r="D22" t="str">
        <f>_xlfn.XLOOKUP(TblDispositon[[#This Row],[File_ID]],tbl_inventory[File_ID], tbl_inventory[Current_File_Name], "")</f>
        <v>Random_Document_FINAL_FINAL.docx</v>
      </c>
      <c r="E22" t="str">
        <f>_xlfn.XLOOKUP(TblDispositon[[#This Row],[File_ID]],tbl_inventory[File_ID], tbl_inventory[Contains_PII], "")</f>
        <v>No</v>
      </c>
      <c r="G22" t="s">
        <v>326</v>
      </c>
      <c r="H22" t="str">
        <f>_xlfn.XLOOKUP(TblDispositon[[#This Row],[File_ID]],tbl_inventory[File_ID], tbl_inventory[Retention_Recommendation], "")</f>
        <v>Review</v>
      </c>
      <c r="I22" t="str">
        <f>_xlfn.XLOOKUP(TblDispositon[[#This Row],[File_ID]],tbl_inventory[File_ID], tbl_inventory[Disposition_Status], "")</f>
        <v>Pending Owner</v>
      </c>
      <c r="J22" t="str">
        <f>_xlfn.XLOOKUP(TblDispositon[[#This Row],[File_ID]],tbl_deadup[File_ID], tbl_deadup[Rationale], "")</f>
        <v/>
      </c>
      <c r="K22" t="str">
        <f>_xlfn.XLOOKUP(TblDispositon[[#This Row],[File_ID]],tbl_deadup[File_ID], tbl_deadup[Approval_Required], "")</f>
        <v/>
      </c>
      <c r="M22" t="str">
        <f>_xlfn.XLOOKUP(TblDispositon[[#This Row],[File_ID]],tbl_inventory[File_ID], tbl_inventory[Next_Steps], "")</f>
        <v>Identify owner; classify record type</v>
      </c>
    </row>
    <row r="23" spans="1:13" x14ac:dyDescent="0.2">
      <c r="A23" t="s">
        <v>319</v>
      </c>
      <c r="B23" t="s">
        <v>91</v>
      </c>
      <c r="C23" t="str">
        <f>_xlfn.XLOOKUP(TblDispositon[[#This Row],[File_ID]], tbl_inventory[File_ID], tbl_inventory[Current_File_Path], "")</f>
        <v>\IPC\SharedDrive\CorporateServices\Operations_and_Intake\</v>
      </c>
      <c r="D23" t="str">
        <f>_xlfn.XLOOKUP(TblDispositon[[#This Row],[File_ID]],tbl_inventory[File_ID], tbl_inventory[Current_File_Name], "")</f>
        <v>Old_Copy_DispositionList.xlsx</v>
      </c>
      <c r="E23" t="str">
        <f>_xlfn.XLOOKUP(TblDispositon[[#This Row],[File_ID]],tbl_inventory[File_ID], tbl_inventory[Contains_PII], "")</f>
        <v>No</v>
      </c>
      <c r="G23" t="s">
        <v>324</v>
      </c>
      <c r="H23" t="str">
        <f>_xlfn.XLOOKUP(TblDispositon[[#This Row],[File_ID]],tbl_inventory[File_ID], tbl_inventory[Retention_Recommendation], "")</f>
        <v>Review</v>
      </c>
      <c r="I23" t="str">
        <f>_xlfn.XLOOKUP(TblDispositon[[#This Row],[File_ID]],tbl_inventory[File_ID], tbl_inventory[Disposition_Status], "")</f>
        <v>Pending Owner</v>
      </c>
      <c r="J23" t="str">
        <f>_xlfn.XLOOKUP(TblDispositon[[#This Row],[File_ID]],tbl_deadup[File_ID], tbl_deadup[Rationale], "")</f>
        <v/>
      </c>
      <c r="K23" t="str">
        <f>_xlfn.XLOOKUP(TblDispositon[[#This Row],[File_ID]],tbl_deadup[File_ID], tbl_deadup[Approval_Required], "")</f>
        <v/>
      </c>
      <c r="M23" t="str">
        <f>_xlfn.XLOOKUP(TblDispositon[[#This Row],[File_ID]],tbl_inventory[File_ID], tbl_inventory[Next_Steps], "")</f>
        <v>Confirm retention requirement</v>
      </c>
    </row>
    <row r="24" spans="1:13" x14ac:dyDescent="0.2">
      <c r="A24" t="s">
        <v>298</v>
      </c>
      <c r="B24" t="s">
        <v>92</v>
      </c>
      <c r="C24" t="str">
        <f>_xlfn.XLOOKUP(TblDispositon[[#This Row],[File_ID]], tbl_inventory[File_ID], tbl_inventory[Current_File_Path], "")</f>
        <v>\IPC\SharedDrive\CorporateServices\Operations_and_Intake\</v>
      </c>
      <c r="D24" t="str">
        <f>_xlfn.XLOOKUP(TblDispositon[[#This Row],[File_ID]],tbl_inventory[File_ID], tbl_inventory[Current_File_Name], "")</f>
        <v>TEMP_upload_test_file.docx</v>
      </c>
      <c r="E24" t="str">
        <f>_xlfn.XLOOKUP(TblDispositon[[#This Row],[File_ID]],tbl_inventory[File_ID], tbl_inventory[Contains_PII], "")</f>
        <v>No</v>
      </c>
      <c r="G24" t="s">
        <v>323</v>
      </c>
      <c r="H24" t="str">
        <f>_xlfn.XLOOKUP(TblDispositon[[#This Row],[File_ID]],tbl_inventory[File_ID], tbl_inventory[Retention_Recommendation], "")</f>
        <v>Dispose</v>
      </c>
      <c r="I24" t="str">
        <f>_xlfn.XLOOKUP(TblDispositon[[#This Row],[File_ID]],tbl_inventory[File_ID], tbl_inventory[Disposition_Status], "")</f>
        <v>Pending Owner</v>
      </c>
      <c r="J24" t="str">
        <f>_xlfn.XLOOKUP(TblDispositon[[#This Row],[File_ID]],tbl_deadup[File_ID], tbl_deadup[Rationale], "")</f>
        <v/>
      </c>
      <c r="K24" t="str">
        <f>_xlfn.XLOOKUP(TblDispositon[[#This Row],[File_ID]],tbl_deadup[File_ID], tbl_deadup[Approval_Required], "")</f>
        <v/>
      </c>
      <c r="M24" t="str">
        <f>_xlfn.XLOOKUP(TblDispositon[[#This Row],[File_ID]],tbl_inventory[File_ID], tbl_inventory[Next_Steps], "")</f>
        <v>Confirm safe to delete</v>
      </c>
    </row>
    <row r="25" spans="1:13" x14ac:dyDescent="0.2">
      <c r="A25" t="s">
        <v>674</v>
      </c>
      <c r="B25" t="s">
        <v>75</v>
      </c>
      <c r="C25" t="str">
        <f>_xlfn.XLOOKUP(TblDispositon[[#This Row],[File_ID]], tbl_inventory[File_ID], tbl_inventory[Current_File_Path], "")</f>
        <v>\IPC\SharedDrive\RecordsManagement\Disposition_and_Retention\</v>
      </c>
      <c r="D25" t="str">
        <f>_xlfn.XLOOKUP(TblDispositon[[#This Row],[File_ID]],tbl_inventory[File_ID], tbl_inventory[Current_File_Name], "")</f>
        <v>Disposition_List_2025_FINAL(1).xlsx</v>
      </c>
      <c r="E25" t="str">
        <f>_xlfn.XLOOKUP(TblDispositon[[#This Row],[File_ID]],tbl_inventory[File_ID], tbl_inventory[Contains_PII], "")</f>
        <v>No</v>
      </c>
      <c r="H25" t="str">
        <f>_xlfn.XLOOKUP(TblDispositon[[#This Row],[File_ID]],tbl_inventory[File_ID], tbl_inventory[Retention_Recommendation], "")</f>
        <v>Dispose</v>
      </c>
      <c r="I25" t="str">
        <f>_xlfn.XLOOKUP(TblDispositon[[#This Row],[File_ID]],tbl_inventory[File_ID], tbl_inventory[Disposition_Status], "")</f>
        <v>Pending Approval</v>
      </c>
      <c r="J25" t="str">
        <f>_xlfn.XLOOKUP(TblDispositon[[#This Row],[File_ID]],tbl_deadup[File_ID], tbl_deadup[Rationale], "")</f>
        <v xml:space="preserve">Draft superseeded by final; no retention value </v>
      </c>
      <c r="K25" t="str">
        <f>_xlfn.XLOOKUP(TblDispositon[[#This Row],[File_ID]],tbl_deadup[File_ID], tbl_deadup[Approval_Required], "")</f>
        <v>No</v>
      </c>
      <c r="M25" t="str">
        <f>_xlfn.XLOOKUP(TblDispositon[[#This Row],[File_ID]],tbl_inventory[File_ID], tbl_inventory[Next_Steps], "")</f>
        <v>Remove duplicate final copy</v>
      </c>
    </row>
    <row r="26" spans="1:13" x14ac:dyDescent="0.2">
      <c r="C26" t="str">
        <f>_xlfn.XLOOKUP(TblDispositon[[#This Row],[File_ID]], tbl_inventory[File_ID], tbl_inventory[Current_File_Path], "")</f>
        <v/>
      </c>
      <c r="D26" t="str">
        <f>_xlfn.XLOOKUP(TblDispositon[[#This Row],[File_ID]],tbl_inventory[File_ID], tbl_inventory[Current_File_Name], "")</f>
        <v/>
      </c>
      <c r="E26" t="str">
        <f>_xlfn.XLOOKUP(TblDispositon[[#This Row],[File_ID]],tbl_inventory[File_ID], tbl_inventory[Contains_PII], "")</f>
        <v/>
      </c>
      <c r="H26" t="str">
        <f>_xlfn.XLOOKUP(TblDispositon[[#This Row],[File_ID]],tbl_inventory[File_ID], tbl_inventory[Retention_Recommendation], "")</f>
        <v/>
      </c>
      <c r="I26" t="str">
        <f>_xlfn.XLOOKUP(TblDispositon[[#This Row],[File_ID]],tbl_inventory[File_ID], tbl_inventory[Disposition_Status], "")</f>
        <v/>
      </c>
      <c r="J26" t="str">
        <f>_xlfn.XLOOKUP(TblDispositon[[#This Row],[File_ID]],tbl_deadup[File_ID], tbl_deadup[Rationale], "")</f>
        <v/>
      </c>
      <c r="K26" t="str">
        <f>_xlfn.XLOOKUP(TblDispositon[[#This Row],[File_ID]],tbl_deadup[File_ID], tbl_deadup[Approval_Required], "")</f>
        <v/>
      </c>
      <c r="M26" t="str">
        <f>_xlfn.XLOOKUP(TblDispositon[[#This Row],[File_ID]],tbl_inventory[File_ID], tbl_inventory[Next_Steps], "")</f>
        <v/>
      </c>
    </row>
  </sheetData>
  <phoneticPr fontId="5" type="noConversion"/>
  <conditionalFormatting sqref="F21">
    <cfRule type="cellIs" dxfId="0" priority="1" operator="equal">
      <formula>0</formula>
    </cfRule>
  </conditionalFormatting>
  <pageMargins left="0.7" right="0.7" top="0.75" bottom="0.75" header="0.3" footer="0.3"/>
  <pageSetup orientation="portrait" horizontalDpi="0" verticalDpi="0"/>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21CB54DB-800D-0641-AE0E-ED2DEDCE25F1}">
          <x14:formula1>
            <xm:f>Lookup_Lists!$G$2:$G$7</xm:f>
          </x14:formula1>
          <xm:sqref>G28:G1048576</xm:sqref>
        </x14:dataValidation>
        <x14:dataValidation type="list" allowBlank="1" showInputMessage="1" showErrorMessage="1" xr:uid="{B4E6888A-3FF3-3242-A3E7-B857CE388F37}">
          <x14:formula1>
            <xm:f>Lookup_Lists!$G$2:$G$8</xm:f>
          </x14:formula1>
          <xm:sqref>G1:G24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3388E-87D4-664E-A18B-7C28415D4699}">
  <dimension ref="A1:L22"/>
  <sheetViews>
    <sheetView showGridLines="0" showRowColHeaders="0" zoomScale="210" zoomScaleNormal="210" workbookViewId="0">
      <selection activeCell="C26" sqref="C26"/>
    </sheetView>
  </sheetViews>
  <sheetFormatPr baseColWidth="10" defaultRowHeight="15" x14ac:dyDescent="0.2"/>
  <cols>
    <col min="1" max="1" width="14.5" customWidth="1"/>
    <col min="2" max="2" width="9.5" customWidth="1"/>
    <col min="3" max="3" width="49.6640625" customWidth="1"/>
    <col min="4" max="4" width="22.33203125" customWidth="1"/>
    <col min="5" max="5" width="16.83203125" customWidth="1"/>
    <col min="6" max="6" width="13" customWidth="1"/>
    <col min="7" max="7" width="14.83203125" customWidth="1"/>
    <col min="8" max="8" width="63.6640625" customWidth="1"/>
    <col min="9" max="9" width="16.33203125" customWidth="1"/>
    <col min="10" max="10" width="16.1640625" customWidth="1"/>
    <col min="11" max="11" width="11.83203125" customWidth="1"/>
    <col min="12" max="12" width="26" customWidth="1"/>
  </cols>
  <sheetData>
    <row r="1" spans="1:12" x14ac:dyDescent="0.2">
      <c r="A1" t="s">
        <v>277</v>
      </c>
      <c r="B1" t="s">
        <v>2</v>
      </c>
      <c r="C1" t="s">
        <v>3</v>
      </c>
      <c r="D1" t="s">
        <v>6</v>
      </c>
      <c r="E1" t="s">
        <v>13</v>
      </c>
      <c r="F1" t="s">
        <v>14</v>
      </c>
      <c r="G1" t="s">
        <v>278</v>
      </c>
      <c r="H1" t="s">
        <v>279</v>
      </c>
      <c r="I1" t="s">
        <v>280</v>
      </c>
      <c r="J1" t="s">
        <v>281</v>
      </c>
      <c r="K1" t="s">
        <v>282</v>
      </c>
      <c r="L1" t="s">
        <v>1</v>
      </c>
    </row>
    <row r="2" spans="1:12" x14ac:dyDescent="0.2">
      <c r="A2" t="s">
        <v>93</v>
      </c>
      <c r="B2" t="s">
        <v>54</v>
      </c>
      <c r="C2" t="s">
        <v>115</v>
      </c>
      <c r="D2" t="str">
        <f>_xlfn.XLOOKUP(tbl_deadup[[#This Row],[File_ID]],tbl_inventory[File_ID], tbl_inventory[Owners], "")</f>
        <v xml:space="preserve">IM Lead </v>
      </c>
      <c r="E2" s="3">
        <f>_xlfn.XLOOKUP(tbl_deadup[[#This Row],[File_ID]],tbl_inventory[File_ID], tbl_inventory[Last_Modified_Date], "")</f>
        <v>46070</v>
      </c>
      <c r="F2" t="str">
        <f>_xlfn.XLOOKUP(tbl_deadup[[#This Row],[File_ID]],tbl_inventory[File_ID], tbl_inventory[Version_Status], "")</f>
        <v>Draft</v>
      </c>
      <c r="G2" t="s">
        <v>44</v>
      </c>
      <c r="H2" t="s">
        <v>285</v>
      </c>
      <c r="I2" t="s">
        <v>119</v>
      </c>
      <c r="L2" t="str">
        <f>_xlfn.XLOOKUP(tbl_deadup[[#This Row],[File_ID]],tbl_inventory[File_ID], tbl_inventory[Notes], "")</f>
        <v>Part of duplicate group</v>
      </c>
    </row>
    <row r="3" spans="1:12" x14ac:dyDescent="0.2">
      <c r="A3" t="s">
        <v>93</v>
      </c>
      <c r="B3" t="s">
        <v>55</v>
      </c>
      <c r="C3" t="s">
        <v>101</v>
      </c>
      <c r="D3" t="str">
        <f>_xlfn.XLOOKUP(tbl_deadup[[#This Row],[File_ID]],tbl_inventory[File_ID], tbl_inventory[Owners], "")</f>
        <v>Policy Intern</v>
      </c>
      <c r="E3" s="3">
        <f>_xlfn.XLOOKUP(tbl_deadup[[#This Row],[File_ID]],tbl_inventory[File_ID], tbl_inventory[Last_Modified_Date], "")</f>
        <v>46069</v>
      </c>
      <c r="F3" t="str">
        <f>_xlfn.XLOOKUP(tbl_deadup[[#This Row],[File_ID]],tbl_inventory[File_ID], tbl_inventory[Version_Status], "")</f>
        <v>Draft</v>
      </c>
      <c r="G3" t="s">
        <v>45</v>
      </c>
      <c r="H3" t="s">
        <v>286</v>
      </c>
      <c r="I3" t="s">
        <v>119</v>
      </c>
      <c r="L3" t="str">
        <f>_xlfn.XLOOKUP(tbl_deadup[[#This Row],[File_ID]],tbl_inventory[File_ID], tbl_inventory[Notes], "")</f>
        <v>Older draft copy</v>
      </c>
    </row>
    <row r="4" spans="1:12" x14ac:dyDescent="0.2">
      <c r="A4" t="s">
        <v>93</v>
      </c>
      <c r="B4" t="s">
        <v>60</v>
      </c>
      <c r="C4" t="s">
        <v>106</v>
      </c>
      <c r="D4">
        <f>_xlfn.XLOOKUP(tbl_deadup[[#This Row],[File_ID]],tbl_inventory[File_ID], tbl_inventory[Owners], "")</f>
        <v>0</v>
      </c>
      <c r="E4" s="3">
        <f>_xlfn.XLOOKUP(tbl_deadup[[#This Row],[File_ID]],tbl_inventory[File_ID], tbl_inventory[Last_Modified_Date], "")</f>
        <v>46067</v>
      </c>
      <c r="F4" t="str">
        <f>_xlfn.XLOOKUP(tbl_deadup[[#This Row],[File_ID]],tbl_inventory[File_ID], tbl_inventory[Version_Status], "")</f>
        <v>Draft</v>
      </c>
      <c r="G4" t="s">
        <v>45</v>
      </c>
      <c r="H4" t="s">
        <v>284</v>
      </c>
      <c r="I4" t="s">
        <v>94</v>
      </c>
      <c r="J4" t="s">
        <v>283</v>
      </c>
      <c r="L4" t="str">
        <f>_xlfn.XLOOKUP(tbl_deadup[[#This Row],[File_ID]],tbl_inventory[File_ID], tbl_inventory[Notes], "")</f>
        <v>Orphan copy with duplicate content</v>
      </c>
    </row>
    <row r="5" spans="1:12" x14ac:dyDescent="0.2">
      <c r="A5" t="s">
        <v>109</v>
      </c>
      <c r="B5" t="s">
        <v>56</v>
      </c>
      <c r="C5" t="s">
        <v>102</v>
      </c>
      <c r="D5" t="str">
        <f>_xlfn.XLOOKUP(tbl_deadup[[#This Row],[File_ID]],tbl_inventory[File_ID], tbl_inventory[Owners], "")</f>
        <v xml:space="preserve">IM Lead </v>
      </c>
      <c r="E5" s="3">
        <f>_xlfn.XLOOKUP(tbl_deadup[[#This Row],[File_ID]],tbl_inventory[File_ID], tbl_inventory[Last_Modified_Date], "")</f>
        <v>46070</v>
      </c>
      <c r="F5" t="str">
        <f>_xlfn.XLOOKUP(tbl_deadup[[#This Row],[File_ID]],tbl_inventory[File_ID], tbl_inventory[Version_Status], "")</f>
        <v>Final</v>
      </c>
      <c r="G5" t="s">
        <v>44</v>
      </c>
      <c r="H5" t="s">
        <v>333</v>
      </c>
      <c r="I5" t="s">
        <v>119</v>
      </c>
      <c r="L5" t="str">
        <f>_xlfn.XLOOKUP(tbl_deadup[[#This Row],[File_ID]],tbl_inventory[File_ID], tbl_inventory[Notes], "")</f>
        <v>Final version</v>
      </c>
    </row>
    <row r="6" spans="1:12" x14ac:dyDescent="0.2">
      <c r="A6" t="s">
        <v>109</v>
      </c>
      <c r="B6" t="s">
        <v>57</v>
      </c>
      <c r="C6" t="s">
        <v>103</v>
      </c>
      <c r="D6" t="str">
        <f>_xlfn.XLOOKUP(tbl_deadup[[#This Row],[File_ID]],tbl_inventory[File_ID], tbl_inventory[Owners], "")</f>
        <v xml:space="preserve">IM Lead </v>
      </c>
      <c r="E6" s="3">
        <f>_xlfn.XLOOKUP(tbl_deadup[[#This Row],[File_ID]],tbl_inventory[File_ID], tbl_inventory[Last_Modified_Date], "")</f>
        <v>46070</v>
      </c>
      <c r="F6" t="str">
        <f>_xlfn.XLOOKUP(tbl_deadup[[#This Row],[File_ID]],tbl_inventory[File_ID], tbl_inventory[Version_Status], "")</f>
        <v>Superseded</v>
      </c>
      <c r="G6" t="s">
        <v>45</v>
      </c>
      <c r="H6" t="s">
        <v>331</v>
      </c>
      <c r="I6" t="s">
        <v>119</v>
      </c>
      <c r="L6" t="str">
        <f>_xlfn.XLOOKUP(tbl_deadup[[#This Row],[File_ID]],tbl_inventory[File_ID], tbl_inventory[Notes], "")</f>
        <v>Duplicate of FINAL</v>
      </c>
    </row>
    <row r="7" spans="1:12" x14ac:dyDescent="0.2">
      <c r="A7" t="s">
        <v>110</v>
      </c>
      <c r="B7" t="s">
        <v>61</v>
      </c>
      <c r="C7" t="s">
        <v>107</v>
      </c>
      <c r="D7" t="str">
        <f>_xlfn.XLOOKUP(tbl_deadup[[#This Row],[File_ID]],tbl_inventory[File_ID], tbl_inventory[Owners], "")</f>
        <v>IT Coordinator</v>
      </c>
      <c r="E7" s="3">
        <f>_xlfn.XLOOKUP(tbl_deadup[[#This Row],[File_ID]],tbl_inventory[File_ID], tbl_inventory[Last_Modified_Date], "")</f>
        <v>46070</v>
      </c>
      <c r="F7" t="str">
        <f>_xlfn.XLOOKUP(tbl_deadup[[#This Row],[File_ID]],tbl_inventory[File_ID], tbl_inventory[Version_Status], "")</f>
        <v>Draft</v>
      </c>
      <c r="G7" t="s">
        <v>45</v>
      </c>
      <c r="H7" t="s">
        <v>332</v>
      </c>
      <c r="I7" t="s">
        <v>119</v>
      </c>
      <c r="L7" t="str">
        <f>_xlfn.XLOOKUP(tbl_deadup[[#This Row],[File_ID]],tbl_inventory[File_ID], tbl_inventory[Notes], "")</f>
        <v>Dispose after approval (retain v3)</v>
      </c>
    </row>
    <row r="8" spans="1:12" x14ac:dyDescent="0.2">
      <c r="A8" t="s">
        <v>110</v>
      </c>
      <c r="B8" t="s">
        <v>62</v>
      </c>
      <c r="C8" t="s">
        <v>108</v>
      </c>
      <c r="D8" t="str">
        <f>_xlfn.XLOOKUP(tbl_deadup[[#This Row],[File_ID]],tbl_inventory[File_ID], tbl_inventory[Owners], "")</f>
        <v>IT Coordinator</v>
      </c>
      <c r="E8" s="3">
        <f>_xlfn.XLOOKUP(tbl_deadup[[#This Row],[File_ID]],tbl_inventory[File_ID], tbl_inventory[Last_Modified_Date], "")</f>
        <v>46070</v>
      </c>
      <c r="F8" t="str">
        <f>_xlfn.XLOOKUP(tbl_deadup[[#This Row],[File_ID]],tbl_inventory[File_ID], tbl_inventory[Version_Status], "")</f>
        <v>Draft</v>
      </c>
      <c r="G8" t="s">
        <v>44</v>
      </c>
      <c r="H8" t="s">
        <v>327</v>
      </c>
      <c r="I8" t="s">
        <v>119</v>
      </c>
      <c r="L8" t="str">
        <f>_xlfn.XLOOKUP(tbl_deadup[[#This Row],[File_ID]],tbl_inventory[File_ID], tbl_inventory[Notes], "")</f>
        <v>Latest export version</v>
      </c>
    </row>
    <row r="9" spans="1:12" x14ac:dyDescent="0.2">
      <c r="A9" t="s">
        <v>165</v>
      </c>
      <c r="B9" t="s">
        <v>67</v>
      </c>
      <c r="C9" t="s">
        <v>163</v>
      </c>
      <c r="D9" t="str">
        <f>_xlfn.XLOOKUP(tbl_deadup[[#This Row],[File_ID]],tbl_inventory[File_ID], tbl_inventory[Owners], "")</f>
        <v>Program Advisor</v>
      </c>
      <c r="E9" s="3">
        <f>_xlfn.XLOOKUP(tbl_deadup[[#This Row],[File_ID]],tbl_inventory[File_ID], tbl_inventory[Last_Modified_Date], "")</f>
        <v>46069</v>
      </c>
      <c r="F9" t="str">
        <f>_xlfn.XLOOKUP(tbl_deadup[[#This Row],[File_ID]],tbl_inventory[File_ID], tbl_inventory[Version_Status], "")</f>
        <v>Final</v>
      </c>
      <c r="G9" t="s">
        <v>45</v>
      </c>
      <c r="H9" t="s">
        <v>286</v>
      </c>
      <c r="I9" t="s">
        <v>94</v>
      </c>
      <c r="J9" t="s">
        <v>283</v>
      </c>
      <c r="L9" t="str">
        <f>_xlfn.XLOOKUP(tbl_deadup[[#This Row],[File_ID]],tbl_inventory[File_ID], tbl_inventory[Notes], "")</f>
        <v>Final deck</v>
      </c>
    </row>
    <row r="10" spans="1:12" x14ac:dyDescent="0.2">
      <c r="A10" t="s">
        <v>165</v>
      </c>
      <c r="B10" t="s">
        <v>70</v>
      </c>
      <c r="C10" t="s">
        <v>168</v>
      </c>
      <c r="D10" t="str">
        <f>_xlfn.XLOOKUP(tbl_deadup[[#This Row],[File_ID]],tbl_inventory[File_ID], tbl_inventory[Owners], "")</f>
        <v>Program Advisor</v>
      </c>
      <c r="E10" s="3">
        <f>_xlfn.XLOOKUP(tbl_deadup[[#This Row],[File_ID]],tbl_inventory[File_ID], tbl_inventory[Last_Modified_Date], "")</f>
        <v>46070</v>
      </c>
      <c r="F10" t="str">
        <f>_xlfn.XLOOKUP(tbl_deadup[[#This Row],[File_ID]],tbl_inventory[File_ID], tbl_inventory[Version_Status], "")</f>
        <v>Final</v>
      </c>
      <c r="G10" t="s">
        <v>44</v>
      </c>
      <c r="H10" t="s">
        <v>287</v>
      </c>
      <c r="I10" t="s">
        <v>94</v>
      </c>
      <c r="J10" t="s">
        <v>283</v>
      </c>
      <c r="L10" t="str">
        <f>_xlfn.XLOOKUP(tbl_deadup[[#This Row],[File_ID]],tbl_inventory[File_ID], tbl_inventory[Notes], "")</f>
        <v>Competing “final” versions</v>
      </c>
    </row>
    <row r="11" spans="1:12" x14ac:dyDescent="0.2">
      <c r="A11" t="s">
        <v>174</v>
      </c>
      <c r="B11" t="s">
        <v>68</v>
      </c>
      <c r="C11" t="s">
        <v>171</v>
      </c>
      <c r="D11" t="str">
        <f>_xlfn.XLOOKUP(tbl_deadup[[#This Row],[File_ID]],tbl_inventory[File_ID], tbl_inventory[Owners], "")</f>
        <v>Policy Intern</v>
      </c>
      <c r="E11" s="3">
        <f>_xlfn.XLOOKUP(tbl_deadup[[#This Row],[File_ID]],tbl_inventory[File_ID], tbl_inventory[Last_Modified_Date], "")</f>
        <v>46065</v>
      </c>
      <c r="F11" t="str">
        <f>_xlfn.XLOOKUP(tbl_deadup[[#This Row],[File_ID]],tbl_inventory[File_ID], tbl_inventory[Version_Status], "")</f>
        <v>Draft</v>
      </c>
      <c r="G11" t="s">
        <v>45</v>
      </c>
      <c r="H11" t="s">
        <v>329</v>
      </c>
      <c r="I11" t="s">
        <v>119</v>
      </c>
      <c r="J11" t="s">
        <v>283</v>
      </c>
      <c r="L11" t="str">
        <f>_xlfn.XLOOKUP(tbl_deadup[[#This Row],[File_ID]],tbl_inventory[File_ID], tbl_inventory[Notes], "")</f>
        <v>Draft summary</v>
      </c>
    </row>
    <row r="12" spans="1:12" x14ac:dyDescent="0.2">
      <c r="A12" t="s">
        <v>174</v>
      </c>
      <c r="B12" t="s">
        <v>69</v>
      </c>
      <c r="C12" t="s">
        <v>177</v>
      </c>
      <c r="D12" t="str">
        <f>_xlfn.XLOOKUP(tbl_deadup[[#This Row],[File_ID]],tbl_inventory[File_ID], tbl_inventory[Owners], "")</f>
        <v>Program Advisor</v>
      </c>
      <c r="E12" s="3">
        <f>_xlfn.XLOOKUP(tbl_deadup[[#This Row],[File_ID]],tbl_inventory[File_ID], tbl_inventory[Last_Modified_Date], "")</f>
        <v>46069</v>
      </c>
      <c r="F12" t="str">
        <f>_xlfn.XLOOKUP(tbl_deadup[[#This Row],[File_ID]],tbl_inventory[File_ID], tbl_inventory[Version_Status], "")</f>
        <v>Final</v>
      </c>
      <c r="G12" t="s">
        <v>44</v>
      </c>
      <c r="H12" t="s">
        <v>288</v>
      </c>
      <c r="I12" t="s">
        <v>119</v>
      </c>
      <c r="L12" t="str">
        <f>_xlfn.XLOOKUP(tbl_deadup[[#This Row],[File_ID]],tbl_inventory[File_ID], tbl_inventory[Notes], "")</f>
        <v>Final summary</v>
      </c>
    </row>
    <row r="13" spans="1:12" x14ac:dyDescent="0.2">
      <c r="A13" t="s">
        <v>198</v>
      </c>
      <c r="B13" t="s">
        <v>74</v>
      </c>
      <c r="C13" t="s">
        <v>196</v>
      </c>
      <c r="D13" t="str">
        <f>_xlfn.XLOOKUP(tbl_deadup[[#This Row],[File_ID]],tbl_inventory[File_ID], tbl_inventory[Owners], "")</f>
        <v xml:space="preserve">Records Analyst </v>
      </c>
      <c r="E13" s="3">
        <f>_xlfn.XLOOKUP(tbl_deadup[[#This Row],[File_ID]],tbl_inventory[File_ID], tbl_inventory[Last_Modified_Date], "")</f>
        <v>46042</v>
      </c>
      <c r="F13" t="str">
        <f>_xlfn.XLOOKUP(tbl_deadup[[#This Row],[File_ID]],tbl_inventory[File_ID], tbl_inventory[Version_Status], "")</f>
        <v>Final</v>
      </c>
      <c r="G13" t="s">
        <v>44</v>
      </c>
      <c r="H13" t="s">
        <v>289</v>
      </c>
      <c r="I13" t="s">
        <v>119</v>
      </c>
      <c r="L13" t="str">
        <f>_xlfn.XLOOKUP(tbl_deadup[[#This Row],[File_ID]],tbl_inventory[File_ID], tbl_inventory[Notes], "")</f>
        <v>Final disposition list</v>
      </c>
    </row>
    <row r="14" spans="1:12" x14ac:dyDescent="0.2">
      <c r="A14" t="s">
        <v>198</v>
      </c>
      <c r="B14" t="s">
        <v>75</v>
      </c>
      <c r="C14" t="s">
        <v>201</v>
      </c>
      <c r="D14" t="str">
        <f>_xlfn.XLOOKUP(tbl_deadup[[#This Row],[File_ID]],tbl_inventory[File_ID], tbl_inventory[Owners], "")</f>
        <v xml:space="preserve">Records Analyst </v>
      </c>
      <c r="E14" s="3">
        <f>_xlfn.XLOOKUP(tbl_deadup[[#This Row],[File_ID]],tbl_inventory[File_ID], tbl_inventory[Last_Modified_Date], "")</f>
        <v>46042</v>
      </c>
      <c r="F14" t="str">
        <f>_xlfn.XLOOKUP(tbl_deadup[[#This Row],[File_ID]],tbl_inventory[File_ID], tbl_inventory[Version_Status], "")</f>
        <v>Superseded</v>
      </c>
      <c r="G14" t="s">
        <v>45</v>
      </c>
      <c r="H14" t="s">
        <v>290</v>
      </c>
      <c r="I14" t="s">
        <v>119</v>
      </c>
      <c r="L14" t="str">
        <f>_xlfn.XLOOKUP(tbl_deadup[[#This Row],[File_ID]],tbl_inventory[File_ID], tbl_inventory[Notes], "")</f>
        <v>Duplicate of final</v>
      </c>
    </row>
    <row r="15" spans="1:12" x14ac:dyDescent="0.2">
      <c r="A15" t="s">
        <v>220</v>
      </c>
      <c r="B15" t="s">
        <v>79</v>
      </c>
      <c r="C15" t="s">
        <v>217</v>
      </c>
      <c r="D15" t="str">
        <f>_xlfn.XLOOKUP(tbl_deadup[[#This Row],[File_ID]],tbl_inventory[File_ID], tbl_inventory[Owners], "")</f>
        <v>IT Coordinator</v>
      </c>
      <c r="E15" s="3">
        <f>_xlfn.XLOOKUP(tbl_deadup[[#This Row],[File_ID]],tbl_inventory[File_ID], tbl_inventory[Last_Modified_Date], "")</f>
        <v>46050</v>
      </c>
      <c r="F15" t="str">
        <f>_xlfn.XLOOKUP(tbl_deadup[[#This Row],[File_ID]],tbl_inventory[File_ID], tbl_inventory[Version_Status], "")</f>
        <v>Draft</v>
      </c>
      <c r="G15" t="s">
        <v>45</v>
      </c>
      <c r="H15" s="2" t="s">
        <v>334</v>
      </c>
      <c r="I15" t="s">
        <v>119</v>
      </c>
      <c r="L15" t="str">
        <f>_xlfn.XLOOKUP(tbl_deadup[[#This Row],[File_ID]],tbl_inventory[File_ID], tbl_inventory[Notes], "")</f>
        <v>Older template</v>
      </c>
    </row>
    <row r="16" spans="1:12" x14ac:dyDescent="0.2">
      <c r="A16" t="s">
        <v>220</v>
      </c>
      <c r="B16" t="s">
        <v>80</v>
      </c>
      <c r="C16" t="s">
        <v>223</v>
      </c>
      <c r="D16" t="str">
        <f>_xlfn.XLOOKUP(tbl_deadup[[#This Row],[File_ID]],tbl_inventory[File_ID], tbl_inventory[Owners], "")</f>
        <v>IT Coordinator</v>
      </c>
      <c r="E16" s="3">
        <f>_xlfn.XLOOKUP(tbl_deadup[[#This Row],[File_ID]],tbl_inventory[File_ID], tbl_inventory[Last_Modified_Date], "")</f>
        <v>46058</v>
      </c>
      <c r="F16" t="str">
        <f>_xlfn.XLOOKUP(tbl_deadup[[#This Row],[File_ID]],tbl_inventory[File_ID], tbl_inventory[Version_Status], "")</f>
        <v>Final</v>
      </c>
      <c r="G16" t="s">
        <v>44</v>
      </c>
      <c r="H16" t="s">
        <v>335</v>
      </c>
      <c r="I16" t="s">
        <v>119</v>
      </c>
      <c r="L16" t="str">
        <f>_xlfn.XLOOKUP(tbl_deadup[[#This Row],[File_ID]],tbl_inventory[File_ID], tbl_inventory[Notes], "")</f>
        <v>Latest template</v>
      </c>
    </row>
    <row r="17" spans="1:12" x14ac:dyDescent="0.2">
      <c r="A17" t="s">
        <v>212</v>
      </c>
      <c r="B17" t="s">
        <v>77</v>
      </c>
      <c r="C17" t="s">
        <v>209</v>
      </c>
      <c r="D17" t="str">
        <f>_xlfn.XLOOKUP(tbl_deadup[[#This Row],[File_ID]],tbl_inventory[File_ID], tbl_inventory[Owners], "")</f>
        <v xml:space="preserve">IM Lead </v>
      </c>
      <c r="E17" s="3">
        <f>_xlfn.XLOOKUP(tbl_deadup[[#This Row],[File_ID]],tbl_inventory[File_ID], tbl_inventory[Last_Modified_Date], "")</f>
        <v>45975</v>
      </c>
      <c r="F17" t="str">
        <f>_xlfn.XLOOKUP(tbl_deadup[[#This Row],[File_ID]],tbl_inventory[File_ID], tbl_inventory[Version_Status], "")</f>
        <v>Draft</v>
      </c>
      <c r="G17" t="s">
        <v>45</v>
      </c>
      <c r="H17" s="2" t="s">
        <v>292</v>
      </c>
      <c r="I17" t="s">
        <v>119</v>
      </c>
      <c r="L17" t="str">
        <f>_xlfn.XLOOKUP(tbl_deadup[[#This Row],[File_ID]],tbl_inventory[File_ID], tbl_inventory[Notes], "")</f>
        <v>Outdated naming draft</v>
      </c>
    </row>
    <row r="18" spans="1:12" x14ac:dyDescent="0.2">
      <c r="A18" t="s">
        <v>212</v>
      </c>
      <c r="B18" t="s">
        <v>78</v>
      </c>
      <c r="C18" t="s">
        <v>214</v>
      </c>
      <c r="D18" t="str">
        <f>_xlfn.XLOOKUP(tbl_deadup[[#This Row],[File_ID]],tbl_inventory[File_ID], tbl_inventory[Owners], "")</f>
        <v xml:space="preserve">IM Lead </v>
      </c>
      <c r="E18" s="3">
        <f>_xlfn.XLOOKUP(tbl_deadup[[#This Row],[File_ID]],tbl_inventory[File_ID], tbl_inventory[Last_Modified_Date], "")</f>
        <v>45992</v>
      </c>
      <c r="F18" t="str">
        <f>_xlfn.XLOOKUP(tbl_deadup[[#This Row],[File_ID]],tbl_inventory[File_ID], tbl_inventory[Version_Status], "")</f>
        <v>Final</v>
      </c>
      <c r="G18" t="s">
        <v>44</v>
      </c>
      <c r="H18" t="s">
        <v>291</v>
      </c>
      <c r="I18" t="s">
        <v>119</v>
      </c>
      <c r="L18" t="str">
        <f>_xlfn.XLOOKUP(tbl_deadup[[#This Row],[File_ID]],tbl_inventory[File_ID], tbl_inventory[Notes], "")</f>
        <v>Authoritative convention</v>
      </c>
    </row>
    <row r="19" spans="1:12" x14ac:dyDescent="0.2">
      <c r="A19" t="s">
        <v>258</v>
      </c>
      <c r="B19" t="s">
        <v>88</v>
      </c>
      <c r="C19" t="s">
        <v>99</v>
      </c>
      <c r="D19" t="str">
        <f>_xlfn.XLOOKUP(tbl_deadup[[#This Row],[File_ID]],tbl_inventory[File_ID], tbl_inventory[Owners], "")</f>
        <v xml:space="preserve">IM Lead </v>
      </c>
      <c r="E19" s="3">
        <f>_xlfn.XLOOKUP(tbl_deadup[[#This Row],[File_ID]],tbl_inventory[File_ID], tbl_inventory[Last_Modified_Date], "")</f>
        <v>46064</v>
      </c>
      <c r="F19" t="str">
        <f>_xlfn.XLOOKUP(tbl_deadup[[#This Row],[File_ID]],tbl_inventory[File_ID], tbl_inventory[Version_Status], "")</f>
        <v>Draft</v>
      </c>
      <c r="G19" t="s">
        <v>44</v>
      </c>
      <c r="H19" t="s">
        <v>293</v>
      </c>
      <c r="I19" t="s">
        <v>119</v>
      </c>
      <c r="L19" t="str">
        <f>_xlfn.XLOOKUP(tbl_deadup[[#This Row],[File_ID]],tbl_inventory[File_ID], tbl_inventory[Notes], "")</f>
        <v>Exported approvals</v>
      </c>
    </row>
    <row r="20" spans="1:12" x14ac:dyDescent="0.2">
      <c r="A20" t="s">
        <v>258</v>
      </c>
      <c r="B20" t="s">
        <v>89</v>
      </c>
      <c r="C20" t="s">
        <v>100</v>
      </c>
      <c r="D20">
        <f>_xlfn.XLOOKUP(tbl_deadup[[#This Row],[File_ID]],tbl_inventory[File_ID], tbl_inventory[Owners], "")</f>
        <v>0</v>
      </c>
      <c r="E20" s="3">
        <f>_xlfn.XLOOKUP(tbl_deadup[[#This Row],[File_ID]],tbl_inventory[File_ID], tbl_inventory[Last_Modified_Date], "")</f>
        <v>46064</v>
      </c>
      <c r="F20" t="str">
        <f>_xlfn.XLOOKUP(tbl_deadup[[#This Row],[File_ID]],tbl_inventory[File_ID], tbl_inventory[Version_Status], "")</f>
        <v>Superseded</v>
      </c>
      <c r="G20" t="s">
        <v>45</v>
      </c>
      <c r="H20" t="s">
        <v>294</v>
      </c>
      <c r="I20" t="s">
        <v>94</v>
      </c>
      <c r="J20" t="s">
        <v>283</v>
      </c>
      <c r="L20" s="4" t="str">
        <f>_xlfn.XLOOKUP(tbl_deadup[[#This Row],[File_ID]],tbl_inventory[File_ID], tbl_inventory[Notes], "")</f>
        <v>Duplicate export</v>
      </c>
    </row>
    <row r="21" spans="1:12" x14ac:dyDescent="0.2">
      <c r="A21" t="s">
        <v>243</v>
      </c>
      <c r="B21" t="s">
        <v>84</v>
      </c>
      <c r="C21" t="s">
        <v>97</v>
      </c>
      <c r="D21" t="str">
        <f>_xlfn.XLOOKUP(tbl_deadup[[#This Row],[File_ID]],tbl_inventory[File_ID], tbl_inventory[Owners], "")</f>
        <v>Corporate Services Manger</v>
      </c>
      <c r="E21" s="3">
        <f>_xlfn.XLOOKUP(tbl_deadup[[#This Row],[File_ID]],tbl_inventory[File_ID], tbl_inventory[Last_Modified_Date], "")</f>
        <v>46063</v>
      </c>
      <c r="F21" t="str">
        <f>_xlfn.XLOOKUP(tbl_deadup[[#This Row],[File_ID]],tbl_inventory[File_ID], tbl_inventory[Version_Status], "")</f>
        <v>Draft</v>
      </c>
      <c r="G21" t="s">
        <v>45</v>
      </c>
      <c r="H21" t="s">
        <v>336</v>
      </c>
      <c r="I21" t="s">
        <v>119</v>
      </c>
      <c r="L21" t="str">
        <f>_xlfn.XLOOKUP(tbl_deadup[[#This Row],[File_ID]],tbl_inventory[File_ID], tbl_inventory[Notes], "")</f>
        <v>Main tracker</v>
      </c>
    </row>
    <row r="22" spans="1:12" x14ac:dyDescent="0.2">
      <c r="A22" t="s">
        <v>243</v>
      </c>
      <c r="B22" t="s">
        <v>85</v>
      </c>
      <c r="C22" t="s">
        <v>98</v>
      </c>
      <c r="D22" t="str">
        <f>_xlfn.XLOOKUP(tbl_deadup[[#This Row],[File_ID]],tbl_inventory[File_ID], tbl_inventory[Owners], "")</f>
        <v>Corporate Services Manger</v>
      </c>
      <c r="E22" s="3">
        <f>_xlfn.XLOOKUP(tbl_deadup[[#This Row],[File_ID]],tbl_inventory[File_ID], tbl_inventory[Last_Modified_Date], "")</f>
        <v>46069</v>
      </c>
      <c r="F22" t="str">
        <f>_xlfn.XLOOKUP(tbl_deadup[[#This Row],[File_ID]],tbl_inventory[File_ID], tbl_inventory[Version_Status], "")</f>
        <v>Final</v>
      </c>
      <c r="G22" t="s">
        <v>44</v>
      </c>
      <c r="H22" t="s">
        <v>337</v>
      </c>
      <c r="I22" t="s">
        <v>119</v>
      </c>
      <c r="L22" s="5" t="str">
        <f>_xlfn.XLOOKUP(tbl_deadup[[#This Row],[File_ID]],tbl_inventory[File_ID], tbl_inventory[Notes], "")</f>
        <v>Updated tracker</v>
      </c>
    </row>
  </sheetData>
  <phoneticPr fontId="5" type="noConversion"/>
  <dataValidations count="2">
    <dataValidation type="list" allowBlank="1" showInputMessage="1" showErrorMessage="1" sqref="G1:G1048576" xr:uid="{A0EED57E-2A24-3F49-BB0C-9B6314FE6E69}">
      <formula1>"Keep, Dispose, Review"</formula1>
    </dataValidation>
    <dataValidation type="list" allowBlank="1" showInputMessage="1" showErrorMessage="1" sqref="I1:I1048576" xr:uid="{7D039F38-9931-8241-A6E7-F0F959B9E7D4}">
      <formula1>"Yes, No"</formula1>
    </dataValidation>
  </dataValidations>
  <pageMargins left="0.7" right="0.7" top="0.75" bottom="0.75" header="0.3" footer="0.3"/>
  <pageSetup orientation="portrait" horizontalDpi="0" verticalDpi="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6E04E-ED10-3841-8233-A240FDD67D83}">
  <dimension ref="A1:G28"/>
  <sheetViews>
    <sheetView showGridLines="0" showRowColHeaders="0" zoomScale="210" zoomScaleNormal="210" workbookViewId="0">
      <selection activeCell="G19" sqref="G19"/>
    </sheetView>
  </sheetViews>
  <sheetFormatPr baseColWidth="10" defaultRowHeight="15" x14ac:dyDescent="0.2"/>
  <cols>
    <col min="1" max="1" width="14.5" customWidth="1"/>
    <col min="2" max="2" width="17.83203125" customWidth="1"/>
    <col min="3" max="3" width="46.1640625" customWidth="1"/>
    <col min="4" max="4" width="32.33203125" customWidth="1"/>
    <col min="5" max="5" width="13.83203125" customWidth="1"/>
    <col min="6" max="6" width="15.6640625" customWidth="1"/>
  </cols>
  <sheetData>
    <row r="1" spans="1:6" x14ac:dyDescent="0.2">
      <c r="A1" t="s">
        <v>340</v>
      </c>
      <c r="B1" t="s">
        <v>341</v>
      </c>
      <c r="C1" t="s">
        <v>342</v>
      </c>
      <c r="D1" t="s">
        <v>343</v>
      </c>
      <c r="E1" t="s">
        <v>344</v>
      </c>
      <c r="F1" t="s">
        <v>1</v>
      </c>
    </row>
    <row r="2" spans="1:6" x14ac:dyDescent="0.2">
      <c r="A2" t="s">
        <v>7</v>
      </c>
      <c r="B2" t="s">
        <v>117</v>
      </c>
      <c r="C2" t="s">
        <v>410</v>
      </c>
      <c r="D2" t="s">
        <v>383</v>
      </c>
      <c r="E2" t="s">
        <v>54</v>
      </c>
    </row>
    <row r="3" spans="1:6" x14ac:dyDescent="0.2">
      <c r="A3" t="s">
        <v>7</v>
      </c>
      <c r="B3" t="s">
        <v>25</v>
      </c>
      <c r="C3" t="s">
        <v>345</v>
      </c>
      <c r="D3" t="s">
        <v>384</v>
      </c>
      <c r="E3" t="s">
        <v>74</v>
      </c>
    </row>
    <row r="4" spans="1:6" x14ac:dyDescent="0.2">
      <c r="A4" t="s">
        <v>7</v>
      </c>
      <c r="B4" t="s">
        <v>39</v>
      </c>
      <c r="C4" t="s">
        <v>346</v>
      </c>
      <c r="D4" t="s">
        <v>385</v>
      </c>
      <c r="E4" t="s">
        <v>84</v>
      </c>
    </row>
    <row r="5" spans="1:6" x14ac:dyDescent="0.2">
      <c r="A5" t="s">
        <v>9</v>
      </c>
      <c r="B5" t="s">
        <v>121</v>
      </c>
      <c r="C5" t="s">
        <v>347</v>
      </c>
      <c r="D5" t="s">
        <v>386</v>
      </c>
      <c r="E5" t="s">
        <v>54</v>
      </c>
    </row>
    <row r="6" spans="1:6" x14ac:dyDescent="0.2">
      <c r="A6" t="s">
        <v>9</v>
      </c>
      <c r="B6" t="s">
        <v>128</v>
      </c>
      <c r="C6" t="s">
        <v>348</v>
      </c>
      <c r="D6" t="s">
        <v>387</v>
      </c>
      <c r="E6" t="s">
        <v>56</v>
      </c>
    </row>
    <row r="7" spans="1:6" x14ac:dyDescent="0.2">
      <c r="A7" t="s">
        <v>9</v>
      </c>
      <c r="B7" t="s">
        <v>142</v>
      </c>
      <c r="C7" t="s">
        <v>349</v>
      </c>
      <c r="D7" t="s">
        <v>388</v>
      </c>
      <c r="E7" t="s">
        <v>62</v>
      </c>
    </row>
    <row r="8" spans="1:6" x14ac:dyDescent="0.2">
      <c r="A8" t="s">
        <v>9</v>
      </c>
      <c r="B8" t="s">
        <v>193</v>
      </c>
      <c r="C8" t="s">
        <v>350</v>
      </c>
      <c r="D8" t="s">
        <v>389</v>
      </c>
      <c r="E8" t="s">
        <v>74</v>
      </c>
    </row>
    <row r="9" spans="1:6" x14ac:dyDescent="0.2">
      <c r="A9" t="s">
        <v>9</v>
      </c>
      <c r="B9" t="s">
        <v>211</v>
      </c>
      <c r="C9" t="s">
        <v>351</v>
      </c>
      <c r="D9" t="s">
        <v>390</v>
      </c>
      <c r="E9" t="s">
        <v>78</v>
      </c>
    </row>
    <row r="10" spans="1:6" x14ac:dyDescent="0.2">
      <c r="A10" t="s">
        <v>9</v>
      </c>
      <c r="B10" t="s">
        <v>352</v>
      </c>
      <c r="C10" t="s">
        <v>353</v>
      </c>
      <c r="D10" t="s">
        <v>391</v>
      </c>
      <c r="E10" t="s">
        <v>80</v>
      </c>
    </row>
    <row r="11" spans="1:6" x14ac:dyDescent="0.2">
      <c r="A11" t="s">
        <v>9</v>
      </c>
      <c r="B11" t="s">
        <v>187</v>
      </c>
      <c r="C11" t="s">
        <v>354</v>
      </c>
      <c r="D11" t="s">
        <v>392</v>
      </c>
      <c r="E11" t="s">
        <v>72</v>
      </c>
    </row>
    <row r="12" spans="1:6" x14ac:dyDescent="0.2">
      <c r="A12" t="s">
        <v>9</v>
      </c>
      <c r="B12" t="s">
        <v>160</v>
      </c>
      <c r="C12" t="s">
        <v>355</v>
      </c>
      <c r="D12" t="s">
        <v>393</v>
      </c>
      <c r="E12" t="s">
        <v>70</v>
      </c>
    </row>
    <row r="13" spans="1:6" x14ac:dyDescent="0.2">
      <c r="A13" t="s">
        <v>9</v>
      </c>
      <c r="B13" t="s">
        <v>257</v>
      </c>
      <c r="C13" t="s">
        <v>356</v>
      </c>
      <c r="D13" t="s">
        <v>394</v>
      </c>
      <c r="E13" t="s">
        <v>88</v>
      </c>
    </row>
    <row r="14" spans="1:6" x14ac:dyDescent="0.2">
      <c r="A14" t="s">
        <v>9</v>
      </c>
      <c r="B14" t="s">
        <v>273</v>
      </c>
      <c r="C14" t="s">
        <v>357</v>
      </c>
      <c r="D14" t="s">
        <v>395</v>
      </c>
      <c r="E14" t="s">
        <v>92</v>
      </c>
    </row>
    <row r="15" spans="1:6" x14ac:dyDescent="0.2">
      <c r="A15" t="s">
        <v>14</v>
      </c>
      <c r="B15" t="s">
        <v>36</v>
      </c>
      <c r="C15" t="s">
        <v>358</v>
      </c>
      <c r="D15" t="s">
        <v>396</v>
      </c>
      <c r="E15" t="s">
        <v>54</v>
      </c>
    </row>
    <row r="16" spans="1:6" x14ac:dyDescent="0.2">
      <c r="A16" t="s">
        <v>14</v>
      </c>
      <c r="B16" t="s">
        <v>37</v>
      </c>
      <c r="C16" t="s">
        <v>359</v>
      </c>
      <c r="D16" t="s">
        <v>397</v>
      </c>
      <c r="E16" t="s">
        <v>56</v>
      </c>
    </row>
    <row r="17" spans="1:7" x14ac:dyDescent="0.2">
      <c r="A17" t="s">
        <v>14</v>
      </c>
      <c r="B17" t="s">
        <v>131</v>
      </c>
      <c r="C17" t="s">
        <v>360</v>
      </c>
      <c r="D17" t="s">
        <v>398</v>
      </c>
      <c r="E17" t="s">
        <v>57</v>
      </c>
    </row>
    <row r="18" spans="1:7" x14ac:dyDescent="0.2">
      <c r="A18" t="s">
        <v>361</v>
      </c>
      <c r="B18" t="s">
        <v>362</v>
      </c>
      <c r="C18" t="s">
        <v>363</v>
      </c>
      <c r="D18" t="s">
        <v>399</v>
      </c>
      <c r="E18" t="s">
        <v>55</v>
      </c>
    </row>
    <row r="19" spans="1:7" x14ac:dyDescent="0.2">
      <c r="A19" t="s">
        <v>361</v>
      </c>
      <c r="B19" t="s">
        <v>364</v>
      </c>
      <c r="C19" t="s">
        <v>365</v>
      </c>
      <c r="D19" t="s">
        <v>400</v>
      </c>
      <c r="E19" t="s">
        <v>58</v>
      </c>
      <c r="G19" s="19" t="b">
        <v>0</v>
      </c>
    </row>
    <row r="20" spans="1:7" x14ac:dyDescent="0.2">
      <c r="A20" t="s">
        <v>366</v>
      </c>
      <c r="B20" t="s">
        <v>367</v>
      </c>
      <c r="C20" t="s">
        <v>368</v>
      </c>
      <c r="D20" t="s">
        <v>401</v>
      </c>
    </row>
    <row r="21" spans="1:7" x14ac:dyDescent="0.2">
      <c r="A21" t="s">
        <v>366</v>
      </c>
      <c r="B21" t="s">
        <v>369</v>
      </c>
      <c r="C21" t="s">
        <v>370</v>
      </c>
      <c r="D21" t="s">
        <v>402</v>
      </c>
      <c r="F21" t="s">
        <v>371</v>
      </c>
    </row>
    <row r="22" spans="1:7" x14ac:dyDescent="0.2">
      <c r="A22" t="s">
        <v>12</v>
      </c>
      <c r="B22" t="s">
        <v>41</v>
      </c>
      <c r="C22" t="s">
        <v>372</v>
      </c>
      <c r="D22" t="s">
        <v>403</v>
      </c>
      <c r="E22" t="s">
        <v>54</v>
      </c>
    </row>
    <row r="23" spans="1:7" x14ac:dyDescent="0.2">
      <c r="A23" t="s">
        <v>12</v>
      </c>
      <c r="B23" t="s">
        <v>42</v>
      </c>
      <c r="C23" t="s">
        <v>373</v>
      </c>
      <c r="D23" t="s">
        <v>404</v>
      </c>
      <c r="E23" t="s">
        <v>82</v>
      </c>
    </row>
    <row r="24" spans="1:7" x14ac:dyDescent="0.2">
      <c r="A24" t="s">
        <v>374</v>
      </c>
      <c r="B24" t="s">
        <v>44</v>
      </c>
      <c r="C24" t="s">
        <v>375</v>
      </c>
      <c r="D24" t="s">
        <v>405</v>
      </c>
      <c r="E24" t="s">
        <v>56</v>
      </c>
    </row>
    <row r="25" spans="1:7" x14ac:dyDescent="0.2">
      <c r="A25" t="s">
        <v>374</v>
      </c>
      <c r="B25" t="s">
        <v>45</v>
      </c>
      <c r="C25" t="s">
        <v>376</v>
      </c>
      <c r="D25" t="s">
        <v>406</v>
      </c>
      <c r="E25" t="s">
        <v>57</v>
      </c>
    </row>
    <row r="26" spans="1:7" x14ac:dyDescent="0.2">
      <c r="A26" t="s">
        <v>374</v>
      </c>
      <c r="B26" t="s">
        <v>46</v>
      </c>
      <c r="C26" t="s">
        <v>377</v>
      </c>
      <c r="D26" t="s">
        <v>407</v>
      </c>
      <c r="E26" t="s">
        <v>90</v>
      </c>
    </row>
    <row r="27" spans="1:7" x14ac:dyDescent="0.2">
      <c r="A27" t="s">
        <v>378</v>
      </c>
      <c r="B27" t="s">
        <v>379</v>
      </c>
      <c r="C27" t="s">
        <v>380</v>
      </c>
      <c r="D27" t="s">
        <v>408</v>
      </c>
      <c r="E27" t="s">
        <v>54</v>
      </c>
    </row>
    <row r="28" spans="1:7" x14ac:dyDescent="0.2">
      <c r="A28" t="s">
        <v>378</v>
      </c>
      <c r="B28" t="s">
        <v>381</v>
      </c>
      <c r="C28" t="s">
        <v>382</v>
      </c>
      <c r="D28" t="s">
        <v>409</v>
      </c>
      <c r="E28" t="s">
        <v>80</v>
      </c>
    </row>
  </sheetData>
  <pageMargins left="0.7" right="0.7" top="0.75" bottom="0.75" header="0.3" footer="0.3"/>
  <pageSetup orientation="portrait" horizontalDpi="0" verticalDpi="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66C4390-1EF1-C846-AA35-C41151A3F8DF}">
          <x14:formula1>
            <xm:f>Lookup_Lists!$H$2:$H$9</xm:f>
          </x14:formula1>
          <xm:sqref>A1:A1048576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6CAB7-F87F-9A45-A2F2-9E4CE6A3A398}">
  <dimension ref="A1:L40"/>
  <sheetViews>
    <sheetView showGridLines="0" showRowColHeaders="0" zoomScale="210" zoomScaleNormal="210" workbookViewId="0">
      <pane ySplit="1" topLeftCell="A2" activePane="bottomLeft" state="frozen"/>
      <selection pane="bottomLeft" activeCell="E45" sqref="E45"/>
    </sheetView>
  </sheetViews>
  <sheetFormatPr baseColWidth="10" defaultRowHeight="15" x14ac:dyDescent="0.2"/>
  <cols>
    <col min="2" max="2" width="52.83203125" bestFit="1" customWidth="1"/>
    <col min="3" max="3" width="44.1640625" customWidth="1"/>
    <col min="4" max="4" width="17.5" customWidth="1"/>
    <col min="5" max="5" width="21.6640625" customWidth="1"/>
    <col min="6" max="6" width="13.6640625" customWidth="1"/>
    <col min="7" max="7" width="12.5" customWidth="1"/>
    <col min="8" max="8" width="26.5" customWidth="1"/>
    <col min="9" max="9" width="17.83203125" customWidth="1"/>
    <col min="10" max="10" width="16.83203125" customWidth="1"/>
    <col min="11" max="11" width="76.5" customWidth="1"/>
  </cols>
  <sheetData>
    <row r="1" spans="1:12" x14ac:dyDescent="0.2">
      <c r="A1" t="s">
        <v>2</v>
      </c>
      <c r="B1" t="s">
        <v>4</v>
      </c>
      <c r="C1" t="s">
        <v>6</v>
      </c>
      <c r="D1" t="s">
        <v>7</v>
      </c>
      <c r="E1" t="s">
        <v>9</v>
      </c>
      <c r="F1" t="s">
        <v>12</v>
      </c>
      <c r="G1" t="s">
        <v>14</v>
      </c>
      <c r="H1" t="s">
        <v>20</v>
      </c>
      <c r="I1" t="s">
        <v>21</v>
      </c>
      <c r="J1" t="s">
        <v>505</v>
      </c>
      <c r="K1" t="s">
        <v>506</v>
      </c>
      <c r="L1" t="s">
        <v>1</v>
      </c>
    </row>
    <row r="2" spans="1:12" x14ac:dyDescent="0.2">
      <c r="A2" t="s">
        <v>54</v>
      </c>
      <c r="B2" t="str">
        <f>_xlfn.XLOOKUP(tblSharePoint[[#This Row],[File_ID]], tbl_inventory[File_ID], tbl_inventory[Proposed_File_Name], " ")</f>
        <v>Excel_WorkingDataset_OntarioOpenData_2026-02-17_Draft</v>
      </c>
      <c r="C2" t="str">
        <f>_xlfn.XLOOKUP(tblSharePoint[[#This Row],[File_ID]], tbl_inventory[File_ID], tbl_inventory[Owners], " ")</f>
        <v xml:space="preserve">IM Lead </v>
      </c>
      <c r="D2" t="str">
        <f>_xlfn.XLOOKUP(tblSharePoint[[#This Row],[File_ID]], tbl_inventory[File_ID], tbl_inventory[Business_Area], " ")</f>
        <v>IT/IM</v>
      </c>
      <c r="E2" t="str">
        <f>_xlfn.XLOOKUP(tblSharePoint[[#This Row],[File_ID]], tbl_inventory[File_ID], tbl_inventory[Record_Type], " ")</f>
        <v>Working Dataset</v>
      </c>
      <c r="F2" t="str">
        <f>_xlfn.XLOOKUP(tblSharePoint[[#This Row],[File_ID]], tbl_inventory[File_ID], tbl_inventory[Sensitivity_Level], " ")</f>
        <v>Internal</v>
      </c>
      <c r="G2" t="str">
        <f>_xlfn.XLOOKUP(tblSharePoint[[#This Row],[File_ID]], tbl_inventory[File_ID], tbl_inventory[Version_Status], " ")</f>
        <v>Draft</v>
      </c>
      <c r="H2" t="str">
        <f>_xlfn.XLOOKUP(tblSharePoint[[#This Row],[File_ID]], tbl_inventory[File_ID], tbl_inventory[Retention_Recommendation], " ")</f>
        <v>Review</v>
      </c>
      <c r="I2" t="str">
        <f>_xlfn.XLOOKUP(tblSharePoint[[#This Row],[File_ID]], tbl_inventory[File_ID], tbl_inventory[Disposition_Status], " ")</f>
        <v>Pending Approval</v>
      </c>
      <c r="J2" t="str">
        <f t="shared" ref="J2:J40" si="0">IF(AND(TRIM(H2)="Keep",TRIM(I2)&lt;&gt;"Pending Owner"),"Yes","No")</f>
        <v>No</v>
      </c>
      <c r="K2" t="str">
        <f t="shared" ref="K2:K40" si="1">_xlfn.TEXTJOIN(", ",TRUE,
D2,
E2,
F2,
IF(G2="Superseded","Superseded",""),
IF(H2="Dispose","Dispose",""),
IF(I2="Pending Owner","Orphan/PendingOwner",""),
IF(J2="Yes","MigrationReady","NotReady")
)</f>
        <v>IT/IM, Working Dataset, Internal, NotReady</v>
      </c>
    </row>
    <row r="3" spans="1:12" x14ac:dyDescent="0.2">
      <c r="A3" t="s">
        <v>55</v>
      </c>
      <c r="B3" t="str">
        <f>_xlfn.XLOOKUP(tblSharePoint[[#This Row],[File_ID]], tbl_inventory[File_ID], tbl_inventory[Proposed_File_Name], " ")</f>
        <v>Excel_WorkingDataset_OntarioOpenData_2026-02-16_Draft</v>
      </c>
      <c r="C3" t="str">
        <f>_xlfn.XLOOKUP(tblSharePoint[[#This Row],[File_ID]], tbl_inventory[File_ID], tbl_inventory[Owners], " ")</f>
        <v>Policy Intern</v>
      </c>
      <c r="D3" t="str">
        <f>_xlfn.XLOOKUP(tblSharePoint[[#This Row],[File_ID]], tbl_inventory[File_ID], tbl_inventory[Business_Area], " ")</f>
        <v>IT/IM</v>
      </c>
      <c r="E3" t="str">
        <f>_xlfn.XLOOKUP(tblSharePoint[[#This Row],[File_ID]], tbl_inventory[File_ID], tbl_inventory[Record_Type], " ")</f>
        <v>Working Dataset</v>
      </c>
      <c r="F3" t="str">
        <f>_xlfn.XLOOKUP(tblSharePoint[[#This Row],[File_ID]], tbl_inventory[File_ID], tbl_inventory[Sensitivity_Level], " ")</f>
        <v>Internal</v>
      </c>
      <c r="G3" t="str">
        <f>_xlfn.XLOOKUP(tblSharePoint[[#This Row],[File_ID]], tbl_inventory[File_ID], tbl_inventory[Version_Status], " ")</f>
        <v>Draft</v>
      </c>
      <c r="H3" t="str">
        <f>_xlfn.XLOOKUP(tblSharePoint[[#This Row],[File_ID]], tbl_inventory[File_ID], tbl_inventory[Retention_Recommendation], " ")</f>
        <v>Dispose</v>
      </c>
      <c r="I3" t="str">
        <f>_xlfn.XLOOKUP(tblSharePoint[[#This Row],[File_ID]], tbl_inventory[File_ID], tbl_inventory[Disposition_Status], " ")</f>
        <v>Pending Approval</v>
      </c>
      <c r="J3" t="str">
        <f t="shared" si="0"/>
        <v>No</v>
      </c>
      <c r="K3" t="str">
        <f t="shared" si="1"/>
        <v>IT/IM, Working Dataset, Internal, Dispose, NotReady</v>
      </c>
    </row>
    <row r="4" spans="1:12" ht="12" customHeight="1" x14ac:dyDescent="0.2">
      <c r="A4" t="s">
        <v>56</v>
      </c>
      <c r="B4" t="str">
        <f>_xlfn.XLOOKUP(tblSharePoint[[#This Row],[File_ID]], tbl_inventory[File_ID], tbl_inventory[Proposed_File_Name], " ")</f>
        <v>Excel_FinalDataset_OntarioOpenData_2026-02-17_Final</v>
      </c>
      <c r="C4" t="str">
        <f>_xlfn.XLOOKUP(tblSharePoint[[#This Row],[File_ID]], tbl_inventory[File_ID], tbl_inventory[Owners], " ")</f>
        <v xml:space="preserve">IM Lead </v>
      </c>
      <c r="D4" t="str">
        <f>_xlfn.XLOOKUP(tblSharePoint[[#This Row],[File_ID]], tbl_inventory[File_ID], tbl_inventory[Business_Area], " ")</f>
        <v>IT/IM</v>
      </c>
      <c r="E4" t="str">
        <f>_xlfn.XLOOKUP(tblSharePoint[[#This Row],[File_ID]], tbl_inventory[File_ID], tbl_inventory[Record_Type], " ")</f>
        <v>Final Dataset</v>
      </c>
      <c r="F4" t="str">
        <f>_xlfn.XLOOKUP(tblSharePoint[[#This Row],[File_ID]], tbl_inventory[File_ID], tbl_inventory[Sensitivity_Level], " ")</f>
        <v>Internal</v>
      </c>
      <c r="G4" t="str">
        <f>_xlfn.XLOOKUP(tblSharePoint[[#This Row],[File_ID]], tbl_inventory[File_ID], tbl_inventory[Version_Status], " ")</f>
        <v>Final</v>
      </c>
      <c r="H4" t="str">
        <f>_xlfn.XLOOKUP(tblSharePoint[[#This Row],[File_ID]], tbl_inventory[File_ID], tbl_inventory[Retention_Recommendation], " ")</f>
        <v>Keep</v>
      </c>
      <c r="I4" t="str">
        <f>_xlfn.XLOOKUP(tblSharePoint[[#This Row],[File_ID]], tbl_inventory[File_ID], tbl_inventory[Disposition_Status], " ")</f>
        <v>Not Started</v>
      </c>
      <c r="J4" t="str">
        <f t="shared" si="0"/>
        <v>Yes</v>
      </c>
      <c r="K4" t="str">
        <f t="shared" si="1"/>
        <v>IT/IM, Final Dataset, Internal, MigrationReady</v>
      </c>
    </row>
    <row r="5" spans="1:12" x14ac:dyDescent="0.2">
      <c r="A5" t="s">
        <v>57</v>
      </c>
      <c r="B5" t="str">
        <f>_xlfn.XLOOKUP(tblSharePoint[[#This Row],[File_ID]], tbl_inventory[File_ID], tbl_inventory[Proposed_File_Name], " ")</f>
        <v>Excel_FinalDataset_OntarioOpenData_2026-02-17_Superseded</v>
      </c>
      <c r="C5" t="str">
        <f>_xlfn.XLOOKUP(tblSharePoint[[#This Row],[File_ID]], tbl_inventory[File_ID], tbl_inventory[Owners], " ")</f>
        <v xml:space="preserve">IM Lead </v>
      </c>
      <c r="D5" t="str">
        <f>_xlfn.XLOOKUP(tblSharePoint[[#This Row],[File_ID]], tbl_inventory[File_ID], tbl_inventory[Business_Area], " ")</f>
        <v>IT/IM</v>
      </c>
      <c r="E5" t="str">
        <f>_xlfn.XLOOKUP(tblSharePoint[[#This Row],[File_ID]], tbl_inventory[File_ID], tbl_inventory[Record_Type], " ")</f>
        <v>Final Dataset</v>
      </c>
      <c r="F5" t="str">
        <f>_xlfn.XLOOKUP(tblSharePoint[[#This Row],[File_ID]], tbl_inventory[File_ID], tbl_inventory[Sensitivity_Level], " ")</f>
        <v>Internal</v>
      </c>
      <c r="G5" t="str">
        <f>_xlfn.XLOOKUP(tblSharePoint[[#This Row],[File_ID]], tbl_inventory[File_ID], tbl_inventory[Version_Status], " ")</f>
        <v>Superseded</v>
      </c>
      <c r="H5" t="str">
        <f>_xlfn.XLOOKUP(tblSharePoint[[#This Row],[File_ID]], tbl_inventory[File_ID], tbl_inventory[Retention_Recommendation], " ")</f>
        <v>Dispose</v>
      </c>
      <c r="I5" t="str">
        <f>_xlfn.XLOOKUP(tblSharePoint[[#This Row],[File_ID]], tbl_inventory[File_ID], tbl_inventory[Disposition_Status], " ")</f>
        <v>Pending Approval</v>
      </c>
      <c r="J5" t="str">
        <f t="shared" si="0"/>
        <v>No</v>
      </c>
      <c r="K5" t="str">
        <f t="shared" si="1"/>
        <v>IT/IM, Final Dataset, Internal, Superseded, Dispose, NotReady</v>
      </c>
    </row>
    <row r="6" spans="1:12" ht="12" customHeight="1" x14ac:dyDescent="0.2">
      <c r="A6" t="s">
        <v>58</v>
      </c>
      <c r="B6" t="str">
        <f>_xlfn.XLOOKUP(tblSharePoint[[#This Row],[File_ID]], tbl_inventory[File_ID], tbl_inventory[Proposed_File_Name], " ")</f>
        <v>Excel_WorkingNotes_OntarioOpenData_2026-02-15_Draft</v>
      </c>
      <c r="C6" t="str">
        <f>_xlfn.XLOOKUP(tblSharePoint[[#This Row],[File_ID]], tbl_inventory[File_ID], tbl_inventory[Owners], " ")</f>
        <v>Policy Intern</v>
      </c>
      <c r="D6" t="str">
        <f>_xlfn.XLOOKUP(tblSharePoint[[#This Row],[File_ID]], tbl_inventory[File_ID], tbl_inventory[Business_Area], " ")</f>
        <v>IT/IM</v>
      </c>
      <c r="E6" t="str">
        <f>_xlfn.XLOOKUP(tblSharePoint[[#This Row],[File_ID]], tbl_inventory[File_ID], tbl_inventory[Record_Type], " ")</f>
        <v>Working Notes</v>
      </c>
      <c r="F6" t="str">
        <f>_xlfn.XLOOKUP(tblSharePoint[[#This Row],[File_ID]], tbl_inventory[File_ID], tbl_inventory[Sensitivity_Level], " ")</f>
        <v>Internal</v>
      </c>
      <c r="G6" t="str">
        <f>_xlfn.XLOOKUP(tblSharePoint[[#This Row],[File_ID]], tbl_inventory[File_ID], tbl_inventory[Version_Status], " ")</f>
        <v>Draft</v>
      </c>
      <c r="H6" t="str">
        <f>_xlfn.XLOOKUP(tblSharePoint[[#This Row],[File_ID]], tbl_inventory[File_ID], tbl_inventory[Retention_Recommendation], " ")</f>
        <v>Dispose</v>
      </c>
      <c r="I6" t="str">
        <f>_xlfn.XLOOKUP(tblSharePoint[[#This Row],[File_ID]], tbl_inventory[File_ID], tbl_inventory[Disposition_Status], " ")</f>
        <v>Pending Owner</v>
      </c>
      <c r="J6" t="str">
        <f t="shared" si="0"/>
        <v>No</v>
      </c>
      <c r="K6" t="str">
        <f t="shared" si="1"/>
        <v>IT/IM, Working Notes, Internal, Dispose, Orphan/PendingOwner, NotReady</v>
      </c>
    </row>
    <row r="7" spans="1:12" x14ac:dyDescent="0.2">
      <c r="A7" t="s">
        <v>59</v>
      </c>
      <c r="B7" t="str">
        <f>_xlfn.XLOOKUP(tblSharePoint[[#This Row],[File_ID]], tbl_inventory[File_ID], tbl_inventory[Proposed_File_Name], " ")</f>
        <v>Excel_DataQualitySupport_OntarioOpenData_2026-02-16_Final</v>
      </c>
      <c r="C7" t="str">
        <f>_xlfn.XLOOKUP(tblSharePoint[[#This Row],[File_ID]], tbl_inventory[File_ID], tbl_inventory[Owners], " ")</f>
        <v xml:space="preserve">Records Analyst </v>
      </c>
      <c r="D7" t="str">
        <f>_xlfn.XLOOKUP(tblSharePoint[[#This Row],[File_ID]], tbl_inventory[File_ID], tbl_inventory[Business_Area], " ")</f>
        <v>IT/IM</v>
      </c>
      <c r="E7" t="str">
        <f>_xlfn.XLOOKUP(tblSharePoint[[#This Row],[File_ID]], tbl_inventory[File_ID], tbl_inventory[Record_Type], " ")</f>
        <v>Data Quality Support</v>
      </c>
      <c r="F7" t="str">
        <f>_xlfn.XLOOKUP(tblSharePoint[[#This Row],[File_ID]], tbl_inventory[File_ID], tbl_inventory[Sensitivity_Level], " ")</f>
        <v>Internal</v>
      </c>
      <c r="G7" t="str">
        <f>_xlfn.XLOOKUP(tblSharePoint[[#This Row],[File_ID]], tbl_inventory[File_ID], tbl_inventory[Version_Status], " ")</f>
        <v>Final</v>
      </c>
      <c r="H7" t="str">
        <f>_xlfn.XLOOKUP(tblSharePoint[[#This Row],[File_ID]], tbl_inventory[File_ID], tbl_inventory[Retention_Recommendation], " ")</f>
        <v>Keep</v>
      </c>
      <c r="I7" t="str">
        <f>_xlfn.XLOOKUP(tblSharePoint[[#This Row],[File_ID]], tbl_inventory[File_ID], tbl_inventory[Disposition_Status], " ")</f>
        <v>Not Started</v>
      </c>
      <c r="J7" t="str">
        <f t="shared" si="0"/>
        <v>Yes</v>
      </c>
      <c r="K7" t="str">
        <f t="shared" si="1"/>
        <v>IT/IM, Data Quality Support, Internal, MigrationReady</v>
      </c>
    </row>
    <row r="8" spans="1:12" x14ac:dyDescent="0.2">
      <c r="A8" t="s">
        <v>60</v>
      </c>
      <c r="B8" t="str">
        <f>_xlfn.XLOOKUP(tblSharePoint[[#This Row],[File_ID]], tbl_inventory[File_ID], tbl_inventory[Proposed_File_Name], " ")</f>
        <v>Excel_WorkingDataset_OntarioOpenData_2026-02-14_Draft</v>
      </c>
      <c r="D8" t="str">
        <f>_xlfn.XLOOKUP(tblSharePoint[[#This Row],[File_ID]], tbl_inventory[File_ID], tbl_inventory[Business_Area], " ")</f>
        <v>IT/IM</v>
      </c>
      <c r="E8" t="str">
        <f>_xlfn.XLOOKUP(tblSharePoint[[#This Row],[File_ID]], tbl_inventory[File_ID], tbl_inventory[Record_Type], " ")</f>
        <v>Working Dataset</v>
      </c>
      <c r="F8" t="str">
        <f>_xlfn.XLOOKUP(tblSharePoint[[#This Row],[File_ID]], tbl_inventory[File_ID], tbl_inventory[Sensitivity_Level], " ")</f>
        <v>Internal</v>
      </c>
      <c r="G8" t="str">
        <f>_xlfn.XLOOKUP(tblSharePoint[[#This Row],[File_ID]], tbl_inventory[File_ID], tbl_inventory[Version_Status], " ")</f>
        <v>Draft</v>
      </c>
      <c r="H8" t="str">
        <f>_xlfn.XLOOKUP(tblSharePoint[[#This Row],[File_ID]], tbl_inventory[File_ID], tbl_inventory[Retention_Recommendation], " ")</f>
        <v>Dispose</v>
      </c>
      <c r="I8" t="str">
        <f>_xlfn.XLOOKUP(tblSharePoint[[#This Row],[File_ID]], tbl_inventory[File_ID], tbl_inventory[Disposition_Status], " ")</f>
        <v>Pending Owner</v>
      </c>
      <c r="J8" t="str">
        <f t="shared" si="0"/>
        <v>No</v>
      </c>
      <c r="K8" t="str">
        <f t="shared" si="1"/>
        <v>IT/IM, Working Dataset, Internal, Dispose, Orphan/PendingOwner, NotReady</v>
      </c>
    </row>
    <row r="9" spans="1:12" x14ac:dyDescent="0.2">
      <c r="A9" t="s">
        <v>61</v>
      </c>
      <c r="B9" t="str">
        <f>_xlfn.XLOOKUP(tblSharePoint[[#This Row],[File_ID]], tbl_inventory[File_ID], tbl_inventory[Proposed_File_Name], " ")</f>
        <v>Excel_MigrationExport_OntarioOpenData_2026-02-17_Draft</v>
      </c>
      <c r="C9" t="str">
        <f>_xlfn.XLOOKUP(tblSharePoint[[#This Row],[File_ID]], tbl_inventory[File_ID], tbl_inventory[Owners], " ")</f>
        <v>IT Coordinator</v>
      </c>
      <c r="D9" t="str">
        <f>_xlfn.XLOOKUP(tblSharePoint[[#This Row],[File_ID]], tbl_inventory[File_ID], tbl_inventory[Business_Area], " ")</f>
        <v>IT/IM</v>
      </c>
      <c r="E9" t="str">
        <f>_xlfn.XLOOKUP(tblSharePoint[[#This Row],[File_ID]], tbl_inventory[File_ID], tbl_inventory[Record_Type], " ")</f>
        <v>Migration Export</v>
      </c>
      <c r="F9" t="str">
        <f>_xlfn.XLOOKUP(tblSharePoint[[#This Row],[File_ID]], tbl_inventory[File_ID], tbl_inventory[Sensitivity_Level], " ")</f>
        <v>Internal</v>
      </c>
      <c r="G9" t="str">
        <f>_xlfn.XLOOKUP(tblSharePoint[[#This Row],[File_ID]], tbl_inventory[File_ID], tbl_inventory[Version_Status], " ")</f>
        <v>Draft</v>
      </c>
      <c r="H9" t="str">
        <f>_xlfn.XLOOKUP(tblSharePoint[[#This Row],[File_ID]], tbl_inventory[File_ID], tbl_inventory[Retention_Recommendation], " ")</f>
        <v>Dispose</v>
      </c>
      <c r="I9" t="str">
        <f>_xlfn.XLOOKUP(tblSharePoint[[#This Row],[File_ID]], tbl_inventory[File_ID], tbl_inventory[Disposition_Status], " ")</f>
        <v>Pending Approval</v>
      </c>
      <c r="J9" t="str">
        <f t="shared" si="0"/>
        <v>No</v>
      </c>
      <c r="K9" t="str">
        <f t="shared" si="1"/>
        <v>IT/IM, Migration Export, Internal, Dispose, NotReady</v>
      </c>
    </row>
    <row r="10" spans="1:12" x14ac:dyDescent="0.2">
      <c r="A10" t="s">
        <v>62</v>
      </c>
      <c r="B10" t="str">
        <f>_xlfn.XLOOKUP(tblSharePoint[[#This Row],[File_ID]], tbl_inventory[File_ID], tbl_inventory[Proposed_File_Name], " ")</f>
        <v>Excel_MigrationExport_OntarioOpenData_2026-02-17_Draft</v>
      </c>
      <c r="C10" t="str">
        <f>_xlfn.XLOOKUP(tblSharePoint[[#This Row],[File_ID]], tbl_inventory[File_ID], tbl_inventory[Owners], " ")</f>
        <v>IT Coordinator</v>
      </c>
      <c r="D10" t="str">
        <f>_xlfn.XLOOKUP(tblSharePoint[[#This Row],[File_ID]], tbl_inventory[File_ID], tbl_inventory[Business_Area], " ")</f>
        <v>IT/IM</v>
      </c>
      <c r="E10" t="str">
        <f>_xlfn.XLOOKUP(tblSharePoint[[#This Row],[File_ID]], tbl_inventory[File_ID], tbl_inventory[Record_Type], " ")</f>
        <v>Migration Export</v>
      </c>
      <c r="F10" t="str">
        <f>_xlfn.XLOOKUP(tblSharePoint[[#This Row],[File_ID]], tbl_inventory[File_ID], tbl_inventory[Sensitivity_Level], " ")</f>
        <v>Internal</v>
      </c>
      <c r="G10" t="str">
        <f>_xlfn.XLOOKUP(tblSharePoint[[#This Row],[File_ID]], tbl_inventory[File_ID], tbl_inventory[Version_Status], " ")</f>
        <v>Draft</v>
      </c>
      <c r="H10" t="str">
        <f>_xlfn.XLOOKUP(tblSharePoint[[#This Row],[File_ID]], tbl_inventory[File_ID], tbl_inventory[Retention_Recommendation], " ")</f>
        <v>Keep</v>
      </c>
      <c r="I10" t="str">
        <f>_xlfn.XLOOKUP(tblSharePoint[[#This Row],[File_ID]], tbl_inventory[File_ID], tbl_inventory[Disposition_Status], " ")</f>
        <v>Not Started</v>
      </c>
      <c r="J10" t="str">
        <f t="shared" si="0"/>
        <v>Yes</v>
      </c>
      <c r="K10" t="str">
        <f t="shared" si="1"/>
        <v>IT/IM, Migration Export, Internal, MigrationReady</v>
      </c>
    </row>
    <row r="11" spans="1:12" x14ac:dyDescent="0.2">
      <c r="A11" t="s">
        <v>63</v>
      </c>
      <c r="B11" t="str">
        <f>_xlfn.XLOOKUP(tblSharePoint[[#This Row],[File_ID]], tbl_inventory[File_ID], tbl_inventory[Proposed_File_Name], " ")</f>
        <v>Word_WeeklyStatusSummary_Internal_2026-02-01_Final</v>
      </c>
      <c r="C11" t="str">
        <f>_xlfn.XLOOKUP(tblSharePoint[[#This Row],[File_ID]], tbl_inventory[File_ID], tbl_inventory[Owners], " ")</f>
        <v xml:space="preserve">Records Analyst </v>
      </c>
      <c r="D11" t="str">
        <f>_xlfn.XLOOKUP(tblSharePoint[[#This Row],[File_ID]], tbl_inventory[File_ID], tbl_inventory[Business_Area], " ")</f>
        <v>Reporting</v>
      </c>
      <c r="E11" t="str">
        <f>_xlfn.XLOOKUP(tblSharePoint[[#This Row],[File_ID]], tbl_inventory[File_ID], tbl_inventory[Record_Type], " ")</f>
        <v>Weekly Status Summary</v>
      </c>
      <c r="F11" t="str">
        <f>_xlfn.XLOOKUP(tblSharePoint[[#This Row],[File_ID]], tbl_inventory[File_ID], tbl_inventory[Sensitivity_Level], " ")</f>
        <v>Internal</v>
      </c>
      <c r="G11" t="str">
        <f>_xlfn.XLOOKUP(tblSharePoint[[#This Row],[File_ID]], tbl_inventory[File_ID], tbl_inventory[Version_Status], " ")</f>
        <v>Final</v>
      </c>
      <c r="H11" t="str">
        <f>_xlfn.XLOOKUP(tblSharePoint[[#This Row],[File_ID]], tbl_inventory[File_ID], tbl_inventory[Retention_Recommendation], " ")</f>
        <v>Keep</v>
      </c>
      <c r="I11" t="str">
        <f>_xlfn.XLOOKUP(tblSharePoint[[#This Row],[File_ID]], tbl_inventory[File_ID], tbl_inventory[Disposition_Status], " ")</f>
        <v>Not Started</v>
      </c>
      <c r="J11" t="str">
        <f t="shared" si="0"/>
        <v>Yes</v>
      </c>
      <c r="K11" t="str">
        <f t="shared" si="1"/>
        <v>Reporting, Weekly Status Summary, Internal, MigrationReady</v>
      </c>
    </row>
    <row r="12" spans="1:12" x14ac:dyDescent="0.2">
      <c r="A12" t="s">
        <v>64</v>
      </c>
      <c r="B12" t="str">
        <f>_xlfn.XLOOKUP(tblSharePoint[[#This Row],[File_ID]], tbl_inventory[File_ID], tbl_inventory[Proposed_File_Name], " ")</f>
        <v>Word_WeeklyStatusSummary_Internal_2026-02-08_Final</v>
      </c>
      <c r="C12" t="str">
        <f>_xlfn.XLOOKUP(tblSharePoint[[#This Row],[File_ID]], tbl_inventory[File_ID], tbl_inventory[Owners], " ")</f>
        <v xml:space="preserve">Records Analyst </v>
      </c>
      <c r="D12" t="str">
        <f>_xlfn.XLOOKUP(tblSharePoint[[#This Row],[File_ID]], tbl_inventory[File_ID], tbl_inventory[Business_Area], " ")</f>
        <v>Reporting</v>
      </c>
      <c r="E12" t="str">
        <f>_xlfn.XLOOKUP(tblSharePoint[[#This Row],[File_ID]], tbl_inventory[File_ID], tbl_inventory[Record_Type], " ")</f>
        <v>Weekly Status Summary</v>
      </c>
      <c r="F12" t="str">
        <f>_xlfn.XLOOKUP(tblSharePoint[[#This Row],[File_ID]], tbl_inventory[File_ID], tbl_inventory[Sensitivity_Level], " ")</f>
        <v>Internal</v>
      </c>
      <c r="G12" t="str">
        <f>_xlfn.XLOOKUP(tblSharePoint[[#This Row],[File_ID]], tbl_inventory[File_ID], tbl_inventory[Version_Status], " ")</f>
        <v>Final</v>
      </c>
      <c r="H12" t="str">
        <f>_xlfn.XLOOKUP(tblSharePoint[[#This Row],[File_ID]], tbl_inventory[File_ID], tbl_inventory[Retention_Recommendation], " ")</f>
        <v>Keep</v>
      </c>
      <c r="I12" t="str">
        <f>_xlfn.XLOOKUP(tblSharePoint[[#This Row],[File_ID]], tbl_inventory[File_ID], tbl_inventory[Disposition_Status], " ")</f>
        <v>Not Started</v>
      </c>
      <c r="J12" t="str">
        <f t="shared" si="0"/>
        <v>Yes</v>
      </c>
      <c r="K12" t="str">
        <f t="shared" si="1"/>
        <v>Reporting, Weekly Status Summary, Internal, MigrationReady</v>
      </c>
    </row>
    <row r="13" spans="1:12" x14ac:dyDescent="0.2">
      <c r="A13" t="s">
        <v>65</v>
      </c>
      <c r="B13" t="str">
        <f>_xlfn.XLOOKUP(tblSharePoint[[#This Row],[File_ID]], tbl_inventory[File_ID], tbl_inventory[Proposed_File_Name], " ")</f>
        <v>Word_WeeklyStatusSummary_Internal_2026-02-15_Final</v>
      </c>
      <c r="C13" t="str">
        <f>_xlfn.XLOOKUP(tblSharePoint[[#This Row],[File_ID]], tbl_inventory[File_ID], tbl_inventory[Owners], " ")</f>
        <v xml:space="preserve">Records Analyst </v>
      </c>
      <c r="D13" t="str">
        <f>_xlfn.XLOOKUP(tblSharePoint[[#This Row],[File_ID]], tbl_inventory[File_ID], tbl_inventory[Business_Area], " ")</f>
        <v>Reporting</v>
      </c>
      <c r="E13" t="str">
        <f>_xlfn.XLOOKUP(tblSharePoint[[#This Row],[File_ID]], tbl_inventory[File_ID], tbl_inventory[Record_Type], " ")</f>
        <v>Weekly Status Summary</v>
      </c>
      <c r="F13" t="str">
        <f>_xlfn.XLOOKUP(tblSharePoint[[#This Row],[File_ID]], tbl_inventory[File_ID], tbl_inventory[Sensitivity_Level], " ")</f>
        <v>Internal</v>
      </c>
      <c r="G13" t="str">
        <f>_xlfn.XLOOKUP(tblSharePoint[[#This Row],[File_ID]], tbl_inventory[File_ID], tbl_inventory[Version_Status], " ")</f>
        <v>Final</v>
      </c>
      <c r="H13" t="str">
        <f>_xlfn.XLOOKUP(tblSharePoint[[#This Row],[File_ID]], tbl_inventory[File_ID], tbl_inventory[Retention_Recommendation], " ")</f>
        <v>Keep</v>
      </c>
      <c r="I13" t="str">
        <f>_xlfn.XLOOKUP(tblSharePoint[[#This Row],[File_ID]], tbl_inventory[File_ID], tbl_inventory[Disposition_Status], " ")</f>
        <v>Not Started</v>
      </c>
      <c r="J13" t="str">
        <f t="shared" si="0"/>
        <v>Yes</v>
      </c>
      <c r="K13" t="str">
        <f t="shared" si="1"/>
        <v>Reporting, Weekly Status Summary, Internal, MigrationReady</v>
      </c>
    </row>
    <row r="14" spans="1:12" x14ac:dyDescent="0.2">
      <c r="A14" t="s">
        <v>66</v>
      </c>
      <c r="B14" t="str">
        <f>_xlfn.XLOOKUP(tblSharePoint[[#This Row],[File_ID]], tbl_inventory[File_ID], tbl_inventory[Proposed_File_Name], " ")</f>
        <v>PowerPoint_DashboardDeck_OntarioOpenData_2026-02-10_Draft</v>
      </c>
      <c r="C14" t="str">
        <f>_xlfn.XLOOKUP(tblSharePoint[[#This Row],[File_ID]], tbl_inventory[File_ID], tbl_inventory[Owners], " ")</f>
        <v>Program Advisor</v>
      </c>
      <c r="D14" t="str">
        <f>_xlfn.XLOOKUP(tblSharePoint[[#This Row],[File_ID]], tbl_inventory[File_ID], tbl_inventory[Business_Area], " ")</f>
        <v>Reporting</v>
      </c>
      <c r="E14" t="str">
        <f>_xlfn.XLOOKUP(tblSharePoint[[#This Row],[File_ID]], tbl_inventory[File_ID], tbl_inventory[Record_Type], " ")</f>
        <v>Dashboard Deck</v>
      </c>
      <c r="F14" t="str">
        <f>_xlfn.XLOOKUP(tblSharePoint[[#This Row],[File_ID]], tbl_inventory[File_ID], tbl_inventory[Sensitivity_Level], " ")</f>
        <v>Internal</v>
      </c>
      <c r="G14" t="str">
        <f>_xlfn.XLOOKUP(tblSharePoint[[#This Row],[File_ID]], tbl_inventory[File_ID], tbl_inventory[Version_Status], " ")</f>
        <v>Draft</v>
      </c>
      <c r="H14" t="str">
        <f>_xlfn.XLOOKUP(tblSharePoint[[#This Row],[File_ID]], tbl_inventory[File_ID], tbl_inventory[Retention_Recommendation], " ")</f>
        <v>Review</v>
      </c>
      <c r="I14" t="str">
        <f>_xlfn.XLOOKUP(tblSharePoint[[#This Row],[File_ID]], tbl_inventory[File_ID], tbl_inventory[Disposition_Status], " ")</f>
        <v>Pending Approval</v>
      </c>
      <c r="J14" t="str">
        <f t="shared" si="0"/>
        <v>No</v>
      </c>
      <c r="K14" t="str">
        <f t="shared" si="1"/>
        <v>Reporting, Dashboard Deck, Internal, NotReady</v>
      </c>
    </row>
    <row r="15" spans="1:12" x14ac:dyDescent="0.2">
      <c r="A15" t="s">
        <v>67</v>
      </c>
      <c r="B15" t="str">
        <f>_xlfn.XLOOKUP(tblSharePoint[[#This Row],[File_ID]], tbl_inventory[File_ID], tbl_inventory[Proposed_File_Name], " ")</f>
        <v>PowerPoint_DashboardDeck_OntarioOpenData_2026-02-16_Final</v>
      </c>
      <c r="C15" t="str">
        <f>_xlfn.XLOOKUP(tblSharePoint[[#This Row],[File_ID]], tbl_inventory[File_ID], tbl_inventory[Owners], " ")</f>
        <v>Program Advisor</v>
      </c>
      <c r="D15" t="str">
        <f>_xlfn.XLOOKUP(tblSharePoint[[#This Row],[File_ID]], tbl_inventory[File_ID], tbl_inventory[Business_Area], " ")</f>
        <v>Reporting</v>
      </c>
      <c r="E15" t="str">
        <f>_xlfn.XLOOKUP(tblSharePoint[[#This Row],[File_ID]], tbl_inventory[File_ID], tbl_inventory[Record_Type], " ")</f>
        <v>Dashboard Deck</v>
      </c>
      <c r="F15" t="str">
        <f>_xlfn.XLOOKUP(tblSharePoint[[#This Row],[File_ID]], tbl_inventory[File_ID], tbl_inventory[Sensitivity_Level], " ")</f>
        <v>Internal</v>
      </c>
      <c r="G15" t="str">
        <f>_xlfn.XLOOKUP(tblSharePoint[[#This Row],[File_ID]], tbl_inventory[File_ID], tbl_inventory[Version_Status], " ")</f>
        <v>Final</v>
      </c>
      <c r="H15" t="str">
        <f>_xlfn.XLOOKUP(tblSharePoint[[#This Row],[File_ID]], tbl_inventory[File_ID], tbl_inventory[Retention_Recommendation], " ")</f>
        <v>Review</v>
      </c>
      <c r="I15" t="str">
        <f>_xlfn.XLOOKUP(tblSharePoint[[#This Row],[File_ID]], tbl_inventory[File_ID], tbl_inventory[Disposition_Status], " ")</f>
        <v>Pending Approval</v>
      </c>
      <c r="J15" t="str">
        <f t="shared" si="0"/>
        <v>No</v>
      </c>
      <c r="K15" t="str">
        <f t="shared" si="1"/>
        <v>Reporting, Dashboard Deck, Internal, NotReady</v>
      </c>
    </row>
    <row r="16" spans="1:12" x14ac:dyDescent="0.2">
      <c r="A16" t="s">
        <v>70</v>
      </c>
      <c r="B16" t="str">
        <f>_xlfn.XLOOKUP(tblSharePoint[[#This Row],[File_ID]], tbl_inventory[File_ID], tbl_inventory[Proposed_File_Name], " ")</f>
        <v>PowerPoint_DashboardDeck_OntarioOpenData_2026-02-17_Final</v>
      </c>
      <c r="C16" t="str">
        <f>_xlfn.XLOOKUP(tblSharePoint[[#This Row],[File_ID]], tbl_inventory[File_ID], tbl_inventory[Owners], " ")</f>
        <v>Program Advisor</v>
      </c>
      <c r="D16" t="str">
        <f>_xlfn.XLOOKUP(tblSharePoint[[#This Row],[File_ID]], tbl_inventory[File_ID], tbl_inventory[Business_Area], " ")</f>
        <v>Reporting</v>
      </c>
      <c r="E16" t="str">
        <f>_xlfn.XLOOKUP(tblSharePoint[[#This Row],[File_ID]], tbl_inventory[File_ID], tbl_inventory[Record_Type], " ")</f>
        <v>Dashboard Deck</v>
      </c>
      <c r="F16" t="str">
        <f>_xlfn.XLOOKUP(tblSharePoint[[#This Row],[File_ID]], tbl_inventory[File_ID], tbl_inventory[Sensitivity_Level], " ")</f>
        <v>Internal</v>
      </c>
      <c r="G16" t="str">
        <f>_xlfn.XLOOKUP(tblSharePoint[[#This Row],[File_ID]], tbl_inventory[File_ID], tbl_inventory[Version_Status], " ")</f>
        <v>Final</v>
      </c>
      <c r="H16" t="str">
        <f>_xlfn.XLOOKUP(tblSharePoint[[#This Row],[File_ID]], tbl_inventory[File_ID], tbl_inventory[Retention_Recommendation], " ")</f>
        <v>Keep</v>
      </c>
      <c r="I16" t="str">
        <f>_xlfn.XLOOKUP(tblSharePoint[[#This Row],[File_ID]], tbl_inventory[File_ID], tbl_inventory[Disposition_Status], " ")</f>
        <v>Pending Approval</v>
      </c>
      <c r="J16" t="str">
        <f t="shared" si="0"/>
        <v>Yes</v>
      </c>
      <c r="K16" t="str">
        <f t="shared" si="1"/>
        <v>Reporting, Dashboard Deck, Internal, MigrationReady</v>
      </c>
    </row>
    <row r="17" spans="1:11" x14ac:dyDescent="0.2">
      <c r="A17" t="s">
        <v>68</v>
      </c>
      <c r="B17" t="str">
        <f>_xlfn.XLOOKUP(tblSharePoint[[#This Row],[File_ID]], tbl_inventory[File_ID], tbl_inventory[Proposed_File_Name], " ")</f>
        <v>Excel_SummaryTable_OntarioOpenData_2026-02-12_Draft</v>
      </c>
      <c r="C17" t="str">
        <f>_xlfn.XLOOKUP(tblSharePoint[[#This Row],[File_ID]], tbl_inventory[File_ID], tbl_inventory[Owners], " ")</f>
        <v>Policy Intern</v>
      </c>
      <c r="D17" t="str">
        <f>_xlfn.XLOOKUP(tblSharePoint[[#This Row],[File_ID]], tbl_inventory[File_ID], tbl_inventory[Business_Area], " ")</f>
        <v>Reporting</v>
      </c>
      <c r="E17" t="str">
        <f>_xlfn.XLOOKUP(tblSharePoint[[#This Row],[File_ID]], tbl_inventory[File_ID], tbl_inventory[Record_Type], " ")</f>
        <v>Summary Table</v>
      </c>
      <c r="F17" t="str">
        <f>_xlfn.XLOOKUP(tblSharePoint[[#This Row],[File_ID]], tbl_inventory[File_ID], tbl_inventory[Sensitivity_Level], " ")</f>
        <v>Internal</v>
      </c>
      <c r="G17" t="str">
        <f>_xlfn.XLOOKUP(tblSharePoint[[#This Row],[File_ID]], tbl_inventory[File_ID], tbl_inventory[Version_Status], " ")</f>
        <v>Draft</v>
      </c>
      <c r="H17" t="str">
        <f>_xlfn.XLOOKUP(tblSharePoint[[#This Row],[File_ID]], tbl_inventory[File_ID], tbl_inventory[Retention_Recommendation], " ")</f>
        <v>Dispose</v>
      </c>
      <c r="I17" t="str">
        <f>_xlfn.XLOOKUP(tblSharePoint[[#This Row],[File_ID]], tbl_inventory[File_ID], tbl_inventory[Disposition_Status], " ")</f>
        <v>Pending Approval</v>
      </c>
      <c r="J17" t="str">
        <f t="shared" si="0"/>
        <v>No</v>
      </c>
      <c r="K17" t="str">
        <f t="shared" si="1"/>
        <v>Reporting, Summary Table, Internal, Dispose, NotReady</v>
      </c>
    </row>
    <row r="18" spans="1:11" x14ac:dyDescent="0.2">
      <c r="A18" t="s">
        <v>69</v>
      </c>
      <c r="B18" t="str">
        <f>_xlfn.XLOOKUP(tblSharePoint[[#This Row],[File_ID]], tbl_inventory[File_ID], tbl_inventory[Proposed_File_Name], " ")</f>
        <v>Excel_SummaryTable_OntarioOpenData_2026-02-16_Final</v>
      </c>
      <c r="C18" t="str">
        <f>_xlfn.XLOOKUP(tblSharePoint[[#This Row],[File_ID]], tbl_inventory[File_ID], tbl_inventory[Owners], " ")</f>
        <v>Program Advisor</v>
      </c>
      <c r="D18" t="str">
        <f>_xlfn.XLOOKUP(tblSharePoint[[#This Row],[File_ID]], tbl_inventory[File_ID], tbl_inventory[Business_Area], " ")</f>
        <v>Reporting</v>
      </c>
      <c r="E18" t="str">
        <f>_xlfn.XLOOKUP(tblSharePoint[[#This Row],[File_ID]], tbl_inventory[File_ID], tbl_inventory[Record_Type], " ")</f>
        <v>Summary Table</v>
      </c>
      <c r="F18" t="str">
        <f>_xlfn.XLOOKUP(tblSharePoint[[#This Row],[File_ID]], tbl_inventory[File_ID], tbl_inventory[Sensitivity_Level], " ")</f>
        <v>Internal</v>
      </c>
      <c r="G18" t="str">
        <f>_xlfn.XLOOKUP(tblSharePoint[[#This Row],[File_ID]], tbl_inventory[File_ID], tbl_inventory[Version_Status], " ")</f>
        <v>Final</v>
      </c>
      <c r="H18" t="str">
        <f>_xlfn.XLOOKUP(tblSharePoint[[#This Row],[File_ID]], tbl_inventory[File_ID], tbl_inventory[Retention_Recommendation], " ")</f>
        <v>Keep</v>
      </c>
      <c r="I18" t="str">
        <f>_xlfn.XLOOKUP(tblSharePoint[[#This Row],[File_ID]], tbl_inventory[File_ID], tbl_inventory[Disposition_Status], " ")</f>
        <v>Not Started</v>
      </c>
      <c r="J18" t="str">
        <f t="shared" si="0"/>
        <v>Yes</v>
      </c>
      <c r="K18" t="str">
        <f t="shared" si="1"/>
        <v>Reporting, Summary Table, Internal, MigrationReady</v>
      </c>
    </row>
    <row r="19" spans="1:11" x14ac:dyDescent="0.2">
      <c r="A19" t="s">
        <v>71</v>
      </c>
      <c r="B19" t="str">
        <f>_xlfn.XLOOKUP(tblSharePoint[[#This Row],[File_ID]], tbl_inventory[File_ID], tbl_inventory[Proposed_File_Name], " ")</f>
        <v>Excel_ChartDrafts_OntarioOpenData_2026-02-11_Draft</v>
      </c>
      <c r="C19" t="str">
        <f>_xlfn.XLOOKUP(tblSharePoint[[#This Row],[File_ID]], tbl_inventory[File_ID], tbl_inventory[Owners], " ")</f>
        <v>Policy Intern</v>
      </c>
      <c r="D19" t="str">
        <f>_xlfn.XLOOKUP(tblSharePoint[[#This Row],[File_ID]], tbl_inventory[File_ID], tbl_inventory[Business_Area], " ")</f>
        <v>Reporting</v>
      </c>
      <c r="E19" t="str">
        <f>_xlfn.XLOOKUP(tblSharePoint[[#This Row],[File_ID]], tbl_inventory[File_ID], tbl_inventory[Record_Type], " ")</f>
        <v>Chart Drafts</v>
      </c>
      <c r="F19" t="str">
        <f>_xlfn.XLOOKUP(tblSharePoint[[#This Row],[File_ID]], tbl_inventory[File_ID], tbl_inventory[Sensitivity_Level], " ")</f>
        <v>Internal</v>
      </c>
      <c r="G19" t="str">
        <f>_xlfn.XLOOKUP(tblSharePoint[[#This Row],[File_ID]], tbl_inventory[File_ID], tbl_inventory[Version_Status], " ")</f>
        <v>Draft</v>
      </c>
      <c r="H19" t="str">
        <f>_xlfn.XLOOKUP(tblSharePoint[[#This Row],[File_ID]], tbl_inventory[File_ID], tbl_inventory[Retention_Recommendation], " ")</f>
        <v>Dispose</v>
      </c>
      <c r="I19" t="str">
        <f>_xlfn.XLOOKUP(tblSharePoint[[#This Row],[File_ID]], tbl_inventory[File_ID], tbl_inventory[Disposition_Status], " ")</f>
        <v>Pending Approval</v>
      </c>
      <c r="J19" t="str">
        <f t="shared" si="0"/>
        <v>No</v>
      </c>
      <c r="K19" t="str">
        <f t="shared" si="1"/>
        <v>Reporting, Chart Drafts, Internal, Dispose, NotReady</v>
      </c>
    </row>
    <row r="20" spans="1:11" x14ac:dyDescent="0.2">
      <c r="A20" t="s">
        <v>72</v>
      </c>
      <c r="B20" t="str">
        <f>_xlfn.XLOOKUP(tblSharePoint[[#This Row],[File_ID]], tbl_inventory[File_ID], tbl_inventory[Proposed_File_Name], " ")</f>
        <v>Word_BriefingNote_OntarioOpenData_2026-02-13_Draft</v>
      </c>
      <c r="C20" t="str">
        <f>_xlfn.XLOOKUP(tblSharePoint[[#This Row],[File_ID]], tbl_inventory[File_ID], tbl_inventory[Owners], " ")</f>
        <v>Program Advisor</v>
      </c>
      <c r="D20" t="str">
        <f>_xlfn.XLOOKUP(tblSharePoint[[#This Row],[File_ID]], tbl_inventory[File_ID], tbl_inventory[Business_Area], " ")</f>
        <v>Reporting</v>
      </c>
      <c r="E20" t="str">
        <f>_xlfn.XLOOKUP(tblSharePoint[[#This Row],[File_ID]], tbl_inventory[File_ID], tbl_inventory[Record_Type], " ")</f>
        <v>Briefing Note</v>
      </c>
      <c r="F20" t="str">
        <f>_xlfn.XLOOKUP(tblSharePoint[[#This Row],[File_ID]], tbl_inventory[File_ID], tbl_inventory[Sensitivity_Level], " ")</f>
        <v>Internal</v>
      </c>
      <c r="G20" t="str">
        <f>_xlfn.XLOOKUP(tblSharePoint[[#This Row],[File_ID]], tbl_inventory[File_ID], tbl_inventory[Version_Status], " ")</f>
        <v>Draft</v>
      </c>
      <c r="H20" t="str">
        <f>_xlfn.XLOOKUP(tblSharePoint[[#This Row],[File_ID]], tbl_inventory[File_ID], tbl_inventory[Retention_Recommendation], " ")</f>
        <v>Review</v>
      </c>
      <c r="I20" t="str">
        <f>_xlfn.XLOOKUP(tblSharePoint[[#This Row],[File_ID]], tbl_inventory[File_ID], tbl_inventory[Disposition_Status], " ")</f>
        <v>Pending Approval</v>
      </c>
      <c r="J20" t="str">
        <f t="shared" si="0"/>
        <v>No</v>
      </c>
      <c r="K20" t="str">
        <f t="shared" si="1"/>
        <v>Reporting, Briefing Note, Internal, NotReady</v>
      </c>
    </row>
    <row r="21" spans="1:11" x14ac:dyDescent="0.2">
      <c r="A21" t="s">
        <v>73</v>
      </c>
      <c r="B21" t="str">
        <f>_xlfn.XLOOKUP(tblSharePoint[[#This Row],[File_ID]], tbl_inventory[File_ID], tbl_inventory[Proposed_File_Name], " ")</f>
        <v>Excel_DispositionList_Intern+J21:J85al_2026-01-12_Draft</v>
      </c>
      <c r="C21" t="str">
        <f>_xlfn.XLOOKUP(tblSharePoint[[#This Row],[File_ID]], tbl_inventory[File_ID], tbl_inventory[Owners], " ")</f>
        <v xml:space="preserve">Records Analyst </v>
      </c>
      <c r="D21" t="str">
        <f>_xlfn.XLOOKUP(tblSharePoint[[#This Row],[File_ID]], tbl_inventory[File_ID], tbl_inventory[Business_Area], " ")</f>
        <v>Records Management</v>
      </c>
      <c r="E21" t="str">
        <f>_xlfn.XLOOKUP(tblSharePoint[[#This Row],[File_ID]], tbl_inventory[File_ID], tbl_inventory[Record_Type], " ")</f>
        <v>Disposition List</v>
      </c>
      <c r="F21" t="str">
        <f>_xlfn.XLOOKUP(tblSharePoint[[#This Row],[File_ID]], tbl_inventory[File_ID], tbl_inventory[Sensitivity_Level], " ")</f>
        <v>Internal</v>
      </c>
      <c r="G21" t="str">
        <f>_xlfn.XLOOKUP(tblSharePoint[[#This Row],[File_ID]], tbl_inventory[File_ID], tbl_inventory[Version_Status], " ")</f>
        <v>Draft</v>
      </c>
      <c r="H21" t="str">
        <f>_xlfn.XLOOKUP(tblSharePoint[[#This Row],[File_ID]], tbl_inventory[File_ID], tbl_inventory[Retention_Recommendation], " ")</f>
        <v>Review</v>
      </c>
      <c r="I21" t="str">
        <f>_xlfn.XLOOKUP(tblSharePoint[[#This Row],[File_ID]], tbl_inventory[File_ID], tbl_inventory[Disposition_Status], " ")</f>
        <v>Pending Approval</v>
      </c>
      <c r="J21" t="str">
        <f t="shared" si="0"/>
        <v>No</v>
      </c>
      <c r="K21" t="str">
        <f t="shared" si="1"/>
        <v>Records Management, Disposition List, Internal, NotReady</v>
      </c>
    </row>
    <row r="22" spans="1:11" x14ac:dyDescent="0.2">
      <c r="A22" t="s">
        <v>74</v>
      </c>
      <c r="B22" t="str">
        <f>_xlfn.XLOOKUP(tblSharePoint[[#This Row],[File_ID]], tbl_inventory[File_ID], tbl_inventory[Proposed_File_Name], " ")</f>
        <v>Excel_DispositionList_Internal_2026-01-20_Final</v>
      </c>
      <c r="C22" t="str">
        <f>_xlfn.XLOOKUP(tblSharePoint[[#This Row],[File_ID]], tbl_inventory[File_ID], tbl_inventory[Owners], " ")</f>
        <v xml:space="preserve">Records Analyst </v>
      </c>
      <c r="D22" t="str">
        <f>_xlfn.XLOOKUP(tblSharePoint[[#This Row],[File_ID]], tbl_inventory[File_ID], tbl_inventory[Business_Area], " ")</f>
        <v>Records Management</v>
      </c>
      <c r="E22" t="str">
        <f>_xlfn.XLOOKUP(tblSharePoint[[#This Row],[File_ID]], tbl_inventory[File_ID], tbl_inventory[Record_Type], " ")</f>
        <v>Disposition List</v>
      </c>
      <c r="F22" t="str">
        <f>_xlfn.XLOOKUP(tblSharePoint[[#This Row],[File_ID]], tbl_inventory[File_ID], tbl_inventory[Sensitivity_Level], " ")</f>
        <v>Internal</v>
      </c>
      <c r="G22" t="str">
        <f>_xlfn.XLOOKUP(tblSharePoint[[#This Row],[File_ID]], tbl_inventory[File_ID], tbl_inventory[Version_Status], " ")</f>
        <v>Final</v>
      </c>
      <c r="H22" t="str">
        <f>_xlfn.XLOOKUP(tblSharePoint[[#This Row],[File_ID]], tbl_inventory[File_ID], tbl_inventory[Retention_Recommendation], " ")</f>
        <v>Keep</v>
      </c>
      <c r="I22" t="str">
        <f>_xlfn.XLOOKUP(tblSharePoint[[#This Row],[File_ID]], tbl_inventory[File_ID], tbl_inventory[Disposition_Status], " ")</f>
        <v>Not Started</v>
      </c>
      <c r="J22" t="str">
        <f t="shared" si="0"/>
        <v>Yes</v>
      </c>
      <c r="K22" t="str">
        <f t="shared" si="1"/>
        <v>Records Management, Disposition List, Internal, MigrationReady</v>
      </c>
    </row>
    <row r="23" spans="1:11" x14ac:dyDescent="0.2">
      <c r="A23" t="s">
        <v>75</v>
      </c>
      <c r="B23" t="str">
        <f>_xlfn.XLOOKUP(tblSharePoint[[#This Row],[File_ID]], tbl_inventory[File_ID], tbl_inventory[Proposed_File_Name], " ")</f>
        <v>Excel_DispositionList_Internal_2026-01-20_Superseded</v>
      </c>
      <c r="C23" t="str">
        <f>_xlfn.XLOOKUP(tblSharePoint[[#This Row],[File_ID]], tbl_inventory[File_ID], tbl_inventory[Owners], " ")</f>
        <v xml:space="preserve">Records Analyst </v>
      </c>
      <c r="D23" t="str">
        <f>_xlfn.XLOOKUP(tblSharePoint[[#This Row],[File_ID]], tbl_inventory[File_ID], tbl_inventory[Business_Area], " ")</f>
        <v>Records Management</v>
      </c>
      <c r="E23" t="str">
        <f>_xlfn.XLOOKUP(tblSharePoint[[#This Row],[File_ID]], tbl_inventory[File_ID], tbl_inventory[Record_Type], " ")</f>
        <v>Disposition List</v>
      </c>
      <c r="F23" t="str">
        <f>_xlfn.XLOOKUP(tblSharePoint[[#This Row],[File_ID]], tbl_inventory[File_ID], tbl_inventory[Sensitivity_Level], " ")</f>
        <v>Internal</v>
      </c>
      <c r="G23" t="str">
        <f>_xlfn.XLOOKUP(tblSharePoint[[#This Row],[File_ID]], tbl_inventory[File_ID], tbl_inventory[Version_Status], " ")</f>
        <v>Superseded</v>
      </c>
      <c r="H23" t="str">
        <f>_xlfn.XLOOKUP(tblSharePoint[[#This Row],[File_ID]], tbl_inventory[File_ID], tbl_inventory[Retention_Recommendation], " ")</f>
        <v>Dispose</v>
      </c>
      <c r="I23" t="str">
        <f>_xlfn.XLOOKUP(tblSharePoint[[#This Row],[File_ID]], tbl_inventory[File_ID], tbl_inventory[Disposition_Status], " ")</f>
        <v>Pending Approval</v>
      </c>
      <c r="J23" t="str">
        <f t="shared" si="0"/>
        <v>No</v>
      </c>
      <c r="K23" t="str">
        <f t="shared" si="1"/>
        <v>Records Management, Disposition List, Internal, Superseded, Dispose, NotReady</v>
      </c>
    </row>
    <row r="24" spans="1:11" x14ac:dyDescent="0.2">
      <c r="A24" t="s">
        <v>76</v>
      </c>
      <c r="B24" t="str">
        <f>_xlfn.XLOOKUP(tblSharePoint[[#This Row],[File_ID]], tbl_inventory[File_ID], tbl_inventory[Proposed_File_Name], " ")</f>
        <v>PDF_RetentionPolicy_Internal_2025-10-05_Final</v>
      </c>
      <c r="C24" t="str">
        <f>_xlfn.XLOOKUP(tblSharePoint[[#This Row],[File_ID]], tbl_inventory[File_ID], tbl_inventory[Owners], " ")</f>
        <v>Corporate Services Manger</v>
      </c>
      <c r="D24" t="str">
        <f>_xlfn.XLOOKUP(tblSharePoint[[#This Row],[File_ID]], tbl_inventory[File_ID], tbl_inventory[Business_Area], " ")</f>
        <v>Records Management</v>
      </c>
      <c r="E24" t="str">
        <f>_xlfn.XLOOKUP(tblSharePoint[[#This Row],[File_ID]], tbl_inventory[File_ID], tbl_inventory[Record_Type], " ")</f>
        <v>Retention Policy</v>
      </c>
      <c r="F24" t="str">
        <f>_xlfn.XLOOKUP(tblSharePoint[[#This Row],[File_ID]], tbl_inventory[File_ID], tbl_inventory[Sensitivity_Level], " ")</f>
        <v>Internal</v>
      </c>
      <c r="G24" t="str">
        <f>_xlfn.XLOOKUP(tblSharePoint[[#This Row],[File_ID]], tbl_inventory[File_ID], tbl_inventory[Version_Status], " ")</f>
        <v>Final</v>
      </c>
      <c r="H24" t="str">
        <f>_xlfn.XLOOKUP(tblSharePoint[[#This Row],[File_ID]], tbl_inventory[File_ID], tbl_inventory[Retention_Recommendation], " ")</f>
        <v>Keep</v>
      </c>
      <c r="I24" t="str">
        <f>_xlfn.XLOOKUP(tblSharePoint[[#This Row],[File_ID]], tbl_inventory[File_ID], tbl_inventory[Disposition_Status], " ")</f>
        <v>Not Started</v>
      </c>
      <c r="J24" t="str">
        <f t="shared" si="0"/>
        <v>Yes</v>
      </c>
      <c r="K24" t="str">
        <f t="shared" si="1"/>
        <v>Records Management, Retention Policy, Internal, MigrationReady</v>
      </c>
    </row>
    <row r="25" spans="1:11" x14ac:dyDescent="0.2">
      <c r="A25" t="s">
        <v>77</v>
      </c>
      <c r="B25" t="str">
        <f>_xlfn.XLOOKUP(tblSharePoint[[#This Row],[File_ID]], tbl_inventory[File_ID], tbl_inventory[Proposed_File_Name], " ")</f>
        <v>Word_NamingConvention_Internal_2025-11-14_Draft</v>
      </c>
      <c r="C25" t="str">
        <f>_xlfn.XLOOKUP(tblSharePoint[[#This Row],[File_ID]], tbl_inventory[File_ID], tbl_inventory[Owners], " ")</f>
        <v xml:space="preserve">IM Lead </v>
      </c>
      <c r="D25" t="str">
        <f>_xlfn.XLOOKUP(tblSharePoint[[#This Row],[File_ID]], tbl_inventory[File_ID], tbl_inventory[Business_Area], " ")</f>
        <v>Records Management</v>
      </c>
      <c r="E25" t="str">
        <f>_xlfn.XLOOKUP(tblSharePoint[[#This Row],[File_ID]], tbl_inventory[File_ID], tbl_inventory[Record_Type], " ")</f>
        <v>Naming Convention</v>
      </c>
      <c r="F25" t="str">
        <f>_xlfn.XLOOKUP(tblSharePoint[[#This Row],[File_ID]], tbl_inventory[File_ID], tbl_inventory[Sensitivity_Level], " ")</f>
        <v>Internal</v>
      </c>
      <c r="G25" t="str">
        <f>_xlfn.XLOOKUP(tblSharePoint[[#This Row],[File_ID]], tbl_inventory[File_ID], tbl_inventory[Version_Status], " ")</f>
        <v>Draft</v>
      </c>
      <c r="H25" t="str">
        <f>_xlfn.XLOOKUP(tblSharePoint[[#This Row],[File_ID]], tbl_inventory[File_ID], tbl_inventory[Retention_Recommendation], " ")</f>
        <v>Dispose</v>
      </c>
      <c r="I25" t="str">
        <f>_xlfn.XLOOKUP(tblSharePoint[[#This Row],[File_ID]], tbl_inventory[File_ID], tbl_inventory[Disposition_Status], " ")</f>
        <v>Pending Approval</v>
      </c>
      <c r="J25" t="str">
        <f t="shared" si="0"/>
        <v>No</v>
      </c>
      <c r="K25" t="str">
        <f t="shared" si="1"/>
        <v>Records Management, Naming Convention, Internal, Dispose, NotReady</v>
      </c>
    </row>
    <row r="26" spans="1:11" x14ac:dyDescent="0.2">
      <c r="A26" t="s">
        <v>78</v>
      </c>
      <c r="B26" t="str">
        <f>_xlfn.XLOOKUP(tblSharePoint[[#This Row],[File_ID]], tbl_inventory[File_ID], tbl_inventory[Proposed_File_Name], " ")</f>
        <v>Word_NamingConvention_Internal_2025-12-01_Final</v>
      </c>
      <c r="C26" t="str">
        <f>_xlfn.XLOOKUP(tblSharePoint[[#This Row],[File_ID]], tbl_inventory[File_ID], tbl_inventory[Owners], " ")</f>
        <v xml:space="preserve">IM Lead </v>
      </c>
      <c r="D26" t="str">
        <f>_xlfn.XLOOKUP(tblSharePoint[[#This Row],[File_ID]], tbl_inventory[File_ID], tbl_inventory[Business_Area], " ")</f>
        <v>Records Management</v>
      </c>
      <c r="E26" t="str">
        <f>_xlfn.XLOOKUP(tblSharePoint[[#This Row],[File_ID]], tbl_inventory[File_ID], tbl_inventory[Record_Type], " ")</f>
        <v>Naming Convention</v>
      </c>
      <c r="F26" t="str">
        <f>_xlfn.XLOOKUP(tblSharePoint[[#This Row],[File_ID]], tbl_inventory[File_ID], tbl_inventory[Sensitivity_Level], " ")</f>
        <v>Internal</v>
      </c>
      <c r="G26" t="str">
        <f>_xlfn.XLOOKUP(tblSharePoint[[#This Row],[File_ID]], tbl_inventory[File_ID], tbl_inventory[Version_Status], " ")</f>
        <v>Final</v>
      </c>
      <c r="H26" t="str">
        <f>_xlfn.XLOOKUP(tblSharePoint[[#This Row],[File_ID]], tbl_inventory[File_ID], tbl_inventory[Retention_Recommendation], " ")</f>
        <v>Keep</v>
      </c>
      <c r="I26" t="str">
        <f>_xlfn.XLOOKUP(tblSharePoint[[#This Row],[File_ID]], tbl_inventory[File_ID], tbl_inventory[Disposition_Status], " ")</f>
        <v>Not Started</v>
      </c>
      <c r="J26" t="str">
        <f t="shared" si="0"/>
        <v>Yes</v>
      </c>
      <c r="K26" t="str">
        <f t="shared" si="1"/>
        <v>Records Management, Naming Convention, Internal, MigrationReady</v>
      </c>
    </row>
    <row r="27" spans="1:11" x14ac:dyDescent="0.2">
      <c r="A27" t="s">
        <v>79</v>
      </c>
      <c r="B27" t="str">
        <f>_xlfn.XLOOKUP(tblSharePoint[[#This Row],[File_ID]], tbl_inventory[File_ID], tbl_inventory[Proposed_File_Name], " ")</f>
        <v>Excel_SharePointInventory_Internal_2026-01-28_Draft</v>
      </c>
      <c r="C27" t="str">
        <f>_xlfn.XLOOKUP(tblSharePoint[[#This Row],[File_ID]], tbl_inventory[File_ID], tbl_inventory[Owners], " ")</f>
        <v>IT Coordinator</v>
      </c>
      <c r="D27" t="str">
        <f>_xlfn.XLOOKUP(tblSharePoint[[#This Row],[File_ID]], tbl_inventory[File_ID], tbl_inventory[Business_Area], " ")</f>
        <v>Records Management</v>
      </c>
      <c r="E27" t="str">
        <f>_xlfn.XLOOKUP(tblSharePoint[[#This Row],[File_ID]], tbl_inventory[File_ID], tbl_inventory[Record_Type], " ")</f>
        <v>SharePoint Inventory</v>
      </c>
      <c r="F27" t="str">
        <f>_xlfn.XLOOKUP(tblSharePoint[[#This Row],[File_ID]], tbl_inventory[File_ID], tbl_inventory[Sensitivity_Level], " ")</f>
        <v>Internal</v>
      </c>
      <c r="G27" t="str">
        <f>_xlfn.XLOOKUP(tblSharePoint[[#This Row],[File_ID]], tbl_inventory[File_ID], tbl_inventory[Version_Status], " ")</f>
        <v>Draft</v>
      </c>
      <c r="H27" t="str">
        <f>_xlfn.XLOOKUP(tblSharePoint[[#This Row],[File_ID]], tbl_inventory[File_ID], tbl_inventory[Retention_Recommendation], " ")</f>
        <v>Review</v>
      </c>
      <c r="I27" t="str">
        <f>_xlfn.XLOOKUP(tblSharePoint[[#This Row],[File_ID]], tbl_inventory[File_ID], tbl_inventory[Disposition_Status], " ")</f>
        <v>Pending Approval</v>
      </c>
      <c r="J27" t="str">
        <f t="shared" si="0"/>
        <v>No</v>
      </c>
      <c r="K27" t="str">
        <f t="shared" si="1"/>
        <v>Records Management, SharePoint Inventory, Internal, NotReady</v>
      </c>
    </row>
    <row r="28" spans="1:11" x14ac:dyDescent="0.2">
      <c r="A28" t="s">
        <v>80</v>
      </c>
      <c r="B28" t="str">
        <f>_xlfn.XLOOKUP(tblSharePoint[[#This Row],[File_ID]], tbl_inventory[File_ID], tbl_inventory[Proposed_File_Name], " ")</f>
        <v>Excel_SharePointInventory_Internal_2026-02-05_Final</v>
      </c>
      <c r="C28" t="str">
        <f>_xlfn.XLOOKUP(tblSharePoint[[#This Row],[File_ID]], tbl_inventory[File_ID], tbl_inventory[Owners], " ")</f>
        <v>IT Coordinator</v>
      </c>
      <c r="D28" t="str">
        <f>_xlfn.XLOOKUP(tblSharePoint[[#This Row],[File_ID]], tbl_inventory[File_ID], tbl_inventory[Business_Area], " ")</f>
        <v>Records Management</v>
      </c>
      <c r="E28" t="str">
        <f>_xlfn.XLOOKUP(tblSharePoint[[#This Row],[File_ID]], tbl_inventory[File_ID], tbl_inventory[Record_Type], " ")</f>
        <v>SharePoint Inventory</v>
      </c>
      <c r="F28" t="str">
        <f>_xlfn.XLOOKUP(tblSharePoint[[#This Row],[File_ID]], tbl_inventory[File_ID], tbl_inventory[Sensitivity_Level], " ")</f>
        <v>Internal</v>
      </c>
      <c r="G28" t="str">
        <f>_xlfn.XLOOKUP(tblSharePoint[[#This Row],[File_ID]], tbl_inventory[File_ID], tbl_inventory[Version_Status], " ")</f>
        <v>Final</v>
      </c>
      <c r="H28" t="str">
        <f>_xlfn.XLOOKUP(tblSharePoint[[#This Row],[File_ID]], tbl_inventory[File_ID], tbl_inventory[Retention_Recommendation], " ")</f>
        <v>Keep</v>
      </c>
      <c r="I28" t="str">
        <f>_xlfn.XLOOKUP(tblSharePoint[[#This Row],[File_ID]], tbl_inventory[File_ID], tbl_inventory[Disposition_Status], " ")</f>
        <v>Not Started</v>
      </c>
      <c r="J28" t="str">
        <f t="shared" si="0"/>
        <v>Yes</v>
      </c>
      <c r="K28" t="str">
        <f t="shared" si="1"/>
        <v>Records Management, SharePoint Inventory, Internal, MigrationReady</v>
      </c>
    </row>
    <row r="29" spans="1:11" x14ac:dyDescent="0.2">
      <c r="A29" t="s">
        <v>81</v>
      </c>
      <c r="B29" t="str">
        <f>_xlfn.XLOOKUP(tblSharePoint[[#This Row],[File_ID]], tbl_inventory[File_ID], tbl_inventory[Proposed_File_Name], " ")</f>
        <v>PDF_OffsiteRetrieval_Internal_2025-09-18_Final</v>
      </c>
      <c r="C29" t="str">
        <f>_xlfn.XLOOKUP(tblSharePoint[[#This Row],[File_ID]], tbl_inventory[File_ID], tbl_inventory[Owners], " ")</f>
        <v xml:space="preserve">Records Analyst </v>
      </c>
      <c r="D29" t="str">
        <f>_xlfn.XLOOKUP(tblSharePoint[[#This Row],[File_ID]], tbl_inventory[File_ID], tbl_inventory[Business_Area], " ")</f>
        <v>Records Management</v>
      </c>
      <c r="E29" t="str">
        <f>_xlfn.XLOOKUP(tblSharePoint[[#This Row],[File_ID]], tbl_inventory[File_ID], tbl_inventory[Record_Type], " ")</f>
        <v>Offsite Retrieval</v>
      </c>
      <c r="F29" t="str">
        <f>_xlfn.XLOOKUP(tblSharePoint[[#This Row],[File_ID]], tbl_inventory[File_ID], tbl_inventory[Sensitivity_Level], " ")</f>
        <v>Internal</v>
      </c>
      <c r="G29" t="str">
        <f>_xlfn.XLOOKUP(tblSharePoint[[#This Row],[File_ID]], tbl_inventory[File_ID], tbl_inventory[Version_Status], " ")</f>
        <v>Final</v>
      </c>
      <c r="H29" t="str">
        <f>_xlfn.XLOOKUP(tblSharePoint[[#This Row],[File_ID]], tbl_inventory[File_ID], tbl_inventory[Retention_Recommendation], " ")</f>
        <v>Keep</v>
      </c>
      <c r="I29" t="str">
        <f>_xlfn.XLOOKUP(tblSharePoint[[#This Row],[File_ID]], tbl_inventory[File_ID], tbl_inventory[Disposition_Status], " ")</f>
        <v>Not Started</v>
      </c>
      <c r="J29" t="str">
        <f t="shared" si="0"/>
        <v>Yes</v>
      </c>
      <c r="K29" t="str">
        <f t="shared" si="1"/>
        <v>Records Management, Offsite Retrieval, Internal, MigrationReady</v>
      </c>
    </row>
    <row r="30" spans="1:11" x14ac:dyDescent="0.2">
      <c r="A30" t="s">
        <v>82</v>
      </c>
      <c r="B30" t="str">
        <f>_xlfn.XLOOKUP(tblSharePoint[[#This Row],[File_ID]], tbl_inventory[File_ID], tbl_inventory[Proposed_File_Name], " ")</f>
        <v>PDF_PhysicalRecordsInventory_Internal_2025-08-30_Draft</v>
      </c>
      <c r="D30" t="str">
        <f>_xlfn.XLOOKUP(tblSharePoint[[#This Row],[File_ID]], tbl_inventory[File_ID], tbl_inventory[Business_Area], " ")</f>
        <v>Records Management</v>
      </c>
      <c r="E30" t="str">
        <f>_xlfn.XLOOKUP(tblSharePoint[[#This Row],[File_ID]], tbl_inventory[File_ID], tbl_inventory[Record_Type], " ")</f>
        <v>Physical Records Inventory</v>
      </c>
      <c r="F30" t="str">
        <f>_xlfn.XLOOKUP(tblSharePoint[[#This Row],[File_ID]], tbl_inventory[File_ID], tbl_inventory[Sensitivity_Level], " ")</f>
        <v>Restricted</v>
      </c>
      <c r="G30" t="str">
        <f>_xlfn.XLOOKUP(tblSharePoint[[#This Row],[File_ID]], tbl_inventory[File_ID], tbl_inventory[Version_Status], " ")</f>
        <v>Draft</v>
      </c>
      <c r="H30" t="str">
        <f>_xlfn.XLOOKUP(tblSharePoint[[#This Row],[File_ID]], tbl_inventory[File_ID], tbl_inventory[Retention_Recommendation], " ")</f>
        <v>Review</v>
      </c>
      <c r="I30" t="str">
        <f>_xlfn.XLOOKUP(tblSharePoint[[#This Row],[File_ID]], tbl_inventory[File_ID], tbl_inventory[Disposition_Status], " ")</f>
        <v>Pending Owner</v>
      </c>
      <c r="J30" t="str">
        <f t="shared" si="0"/>
        <v>No</v>
      </c>
      <c r="K30" t="str">
        <f t="shared" si="1"/>
        <v>Records Management, Physical Records Inventory, Restricted, Orphan/PendingOwner, NotReady</v>
      </c>
    </row>
    <row r="31" spans="1:11" x14ac:dyDescent="0.2">
      <c r="A31" t="s">
        <v>83</v>
      </c>
      <c r="B31" t="str">
        <f>_xlfn.XLOOKUP(tblSharePoint[[#This Row],[File_ID]], tbl_inventory[File_ID], tbl_inventory[Proposed_File_Name], " ")</f>
        <v>Excel_IntakeAdmin_Internal_2026-01-30_Draft</v>
      </c>
      <c r="C31" t="str">
        <f>_xlfn.XLOOKUP(tblSharePoint[[#This Row],[File_ID]], tbl_inventory[File_ID], tbl_inventory[Owners], " ")</f>
        <v>Policy Intern</v>
      </c>
      <c r="D31" t="str">
        <f>_xlfn.XLOOKUP(tblSharePoint[[#This Row],[File_ID]], tbl_inventory[File_ID], tbl_inventory[Business_Area], " ")</f>
        <v>Corporate Services</v>
      </c>
      <c r="E31" t="str">
        <f>_xlfn.XLOOKUP(tblSharePoint[[#This Row],[File_ID]], tbl_inventory[File_ID], tbl_inventory[Record_Type], " ")</f>
        <v>Intake Admin</v>
      </c>
      <c r="F31" t="str">
        <f>_xlfn.XLOOKUP(tblSharePoint[[#This Row],[File_ID]], tbl_inventory[File_ID], tbl_inventory[Sensitivity_Level], " ")</f>
        <v>Internal</v>
      </c>
      <c r="G31" t="str">
        <f>_xlfn.XLOOKUP(tblSharePoint[[#This Row],[File_ID]], tbl_inventory[File_ID], tbl_inventory[Version_Status], " ")</f>
        <v>Draft</v>
      </c>
      <c r="H31" t="str">
        <f>_xlfn.XLOOKUP(tblSharePoint[[#This Row],[File_ID]], tbl_inventory[File_ID], tbl_inventory[Retention_Recommendation], " ")</f>
        <v>Dispose</v>
      </c>
      <c r="I31" t="str">
        <f>_xlfn.XLOOKUP(tblSharePoint[[#This Row],[File_ID]], tbl_inventory[File_ID], tbl_inventory[Disposition_Status], " ")</f>
        <v>Pending Approval</v>
      </c>
      <c r="J31" t="str">
        <f t="shared" si="0"/>
        <v>No</v>
      </c>
      <c r="K31" t="str">
        <f t="shared" si="1"/>
        <v>Corporate Services, Intake Admin, Internal, Dispose, NotReady</v>
      </c>
    </row>
    <row r="32" spans="1:11" x14ac:dyDescent="0.2">
      <c r="A32" t="s">
        <v>84</v>
      </c>
      <c r="B32" t="str">
        <f>_xlfn.XLOOKUP(tblSharePoint[[#This Row],[File_ID]], tbl_inventory[File_ID], tbl_inventory[Proposed_File_Name], " ")</f>
        <v>Excel_IntakeAdmin_Internal_2026-02-10_Draft</v>
      </c>
      <c r="C32" t="str">
        <f>_xlfn.XLOOKUP(tblSharePoint[[#This Row],[File_ID]], tbl_inventory[File_ID], tbl_inventory[Owners], " ")</f>
        <v>Corporate Services Manger</v>
      </c>
      <c r="D32" t="str">
        <f>_xlfn.XLOOKUP(tblSharePoint[[#This Row],[File_ID]], tbl_inventory[File_ID], tbl_inventory[Business_Area], " ")</f>
        <v>Corporate Services</v>
      </c>
      <c r="E32" t="str">
        <f>_xlfn.XLOOKUP(tblSharePoint[[#This Row],[File_ID]], tbl_inventory[File_ID], tbl_inventory[Record_Type], " ")</f>
        <v>Intake Admin</v>
      </c>
      <c r="F32" t="str">
        <f>_xlfn.XLOOKUP(tblSharePoint[[#This Row],[File_ID]], tbl_inventory[File_ID], tbl_inventory[Sensitivity_Level], " ")</f>
        <v>Internal</v>
      </c>
      <c r="G32" t="str">
        <f>_xlfn.XLOOKUP(tblSharePoint[[#This Row],[File_ID]], tbl_inventory[File_ID], tbl_inventory[Version_Status], " ")</f>
        <v>Draft</v>
      </c>
      <c r="H32" t="str">
        <f>_xlfn.XLOOKUP(tblSharePoint[[#This Row],[File_ID]], tbl_inventory[File_ID], tbl_inventory[Retention_Recommendation], " ")</f>
        <v>Review</v>
      </c>
      <c r="I32" t="str">
        <f>_xlfn.XLOOKUP(tblSharePoint[[#This Row],[File_ID]], tbl_inventory[File_ID], tbl_inventory[Disposition_Status], " ")</f>
        <v>Pending Approval</v>
      </c>
      <c r="J32" t="str">
        <f t="shared" si="0"/>
        <v>No</v>
      </c>
      <c r="K32" t="str">
        <f t="shared" si="1"/>
        <v>Corporate Services, Intake Admin, Internal, NotReady</v>
      </c>
    </row>
    <row r="33" spans="1:11" hidden="1" x14ac:dyDescent="0.2">
      <c r="A33" t="s">
        <v>85</v>
      </c>
      <c r="B33" t="str">
        <f>_xlfn.XLOOKUP(tblSharePoint[[#This Row],[File_ID]], tbl_inventory[File_ID], tbl_inventory[Proposed_File_Name], " ")</f>
        <v>Excel_IntakeAdmin_Internal_2026-02-16_Final</v>
      </c>
      <c r="C33" t="str">
        <f>_xlfn.XLOOKUP(tblSharePoint[[#This Row],[File_ID]], tbl_inventory[File_ID], tbl_inventory[Owners], " ")</f>
        <v>Corporate Services Manger</v>
      </c>
      <c r="D33" t="str">
        <f>_xlfn.XLOOKUP(tblSharePoint[[#This Row],[File_ID]], tbl_inventory[File_ID], tbl_inventory[Business_Area], " ")</f>
        <v>Corporate Services</v>
      </c>
      <c r="E33" t="str">
        <f>_xlfn.XLOOKUP(tblSharePoint[[#This Row],[File_ID]], tbl_inventory[File_ID], tbl_inventory[Record_Type], " ")</f>
        <v>Intake Admin</v>
      </c>
      <c r="F33" t="str">
        <f>_xlfn.XLOOKUP(tblSharePoint[[#This Row],[File_ID]], tbl_inventory[File_ID], tbl_inventory[Sensitivity_Level], " ")</f>
        <v>Internal</v>
      </c>
      <c r="G33" t="str">
        <f>_xlfn.XLOOKUP(tblSharePoint[[#This Row],[File_ID]], tbl_inventory[File_ID], tbl_inventory[Version_Status], " ")</f>
        <v>Final</v>
      </c>
      <c r="H33" t="str">
        <f>_xlfn.XLOOKUP(tblSharePoint[[#This Row],[File_ID]], tbl_inventory[File_ID], tbl_inventory[Retention_Recommendation], " ")</f>
        <v>Keep</v>
      </c>
      <c r="I33" t="str">
        <f>_xlfn.XLOOKUP(tblSharePoint[[#This Row],[File_ID]], tbl_inventory[File_ID], tbl_inventory[Disposition_Status], " ")</f>
        <v>Not Started</v>
      </c>
      <c r="J33" t="str">
        <f t="shared" si="0"/>
        <v>Yes</v>
      </c>
      <c r="K33" t="str">
        <f t="shared" si="1"/>
        <v>Corporate Services, Intake Admin, Internal, MigrationReady</v>
      </c>
    </row>
    <row r="34" spans="1:11" hidden="1" x14ac:dyDescent="0.2">
      <c r="A34" t="s">
        <v>86</v>
      </c>
      <c r="B34" t="str">
        <f>_xlfn.XLOOKUP(tblSharePoint[[#This Row],[File_ID]], tbl_inventory[File_ID], tbl_inventory[Proposed_File_Name], " ")</f>
        <v>Word_MeetingNotes_Internal_2026-01-20_Final</v>
      </c>
      <c r="C34" t="str">
        <f>_xlfn.XLOOKUP(tblSharePoint[[#This Row],[File_ID]], tbl_inventory[File_ID], tbl_inventory[Owners], " ")</f>
        <v xml:space="preserve">IM Lead </v>
      </c>
      <c r="D34" t="str">
        <f>_xlfn.XLOOKUP(tblSharePoint[[#This Row],[File_ID]], tbl_inventory[File_ID], tbl_inventory[Business_Area], " ")</f>
        <v>Corporate Services</v>
      </c>
      <c r="E34" t="str">
        <f>_xlfn.XLOOKUP(tblSharePoint[[#This Row],[File_ID]], tbl_inventory[File_ID], tbl_inventory[Record_Type], " ")</f>
        <v>Meeting Notes</v>
      </c>
      <c r="F34" t="str">
        <f>_xlfn.XLOOKUP(tblSharePoint[[#This Row],[File_ID]], tbl_inventory[File_ID], tbl_inventory[Sensitivity_Level], " ")</f>
        <v>Internal</v>
      </c>
      <c r="G34" t="str">
        <f>_xlfn.XLOOKUP(tblSharePoint[[#This Row],[File_ID]], tbl_inventory[File_ID], tbl_inventory[Version_Status], " ")</f>
        <v>Final</v>
      </c>
      <c r="H34" t="str">
        <f>_xlfn.XLOOKUP(tblSharePoint[[#This Row],[File_ID]], tbl_inventory[File_ID], tbl_inventory[Retention_Recommendation], " ")</f>
        <v>Keep</v>
      </c>
      <c r="I34" t="str">
        <f>_xlfn.XLOOKUP(tblSharePoint[[#This Row],[File_ID]], tbl_inventory[File_ID], tbl_inventory[Disposition_Status], " ")</f>
        <v>Not Started</v>
      </c>
      <c r="J34" t="str">
        <f t="shared" si="0"/>
        <v>Yes</v>
      </c>
      <c r="K34" t="str">
        <f t="shared" si="1"/>
        <v>Corporate Services, Meeting Notes, Internal, MigrationReady</v>
      </c>
    </row>
    <row r="35" spans="1:11" hidden="1" x14ac:dyDescent="0.2">
      <c r="A35" t="s">
        <v>87</v>
      </c>
      <c r="B35" t="str">
        <f>_xlfn.XLOOKUP(tblSharePoint[[#This Row],[File_ID]], tbl_inventory[File_ID], tbl_inventory[Proposed_File_Name], " ")</f>
        <v>Word_MeetingNotes_Internal_2026-02-03_Final</v>
      </c>
      <c r="C35" t="str">
        <f>_xlfn.XLOOKUP(tblSharePoint[[#This Row],[File_ID]], tbl_inventory[File_ID], tbl_inventory[Owners], " ")</f>
        <v xml:space="preserve">IM Lead </v>
      </c>
      <c r="D35" t="str">
        <f>_xlfn.XLOOKUP(tblSharePoint[[#This Row],[File_ID]], tbl_inventory[File_ID], tbl_inventory[Business_Area], " ")</f>
        <v>Corporate Services</v>
      </c>
      <c r="E35" t="str">
        <f>_xlfn.XLOOKUP(tblSharePoint[[#This Row],[File_ID]], tbl_inventory[File_ID], tbl_inventory[Record_Type], " ")</f>
        <v>Meeting Notes</v>
      </c>
      <c r="F35" t="str">
        <f>_xlfn.XLOOKUP(tblSharePoint[[#This Row],[File_ID]], tbl_inventory[File_ID], tbl_inventory[Sensitivity_Level], " ")</f>
        <v>Internal</v>
      </c>
      <c r="G35" t="str">
        <f>_xlfn.XLOOKUP(tblSharePoint[[#This Row],[File_ID]], tbl_inventory[File_ID], tbl_inventory[Version_Status], " ")</f>
        <v>Final</v>
      </c>
      <c r="H35" t="str">
        <f>_xlfn.XLOOKUP(tblSharePoint[[#This Row],[File_ID]], tbl_inventory[File_ID], tbl_inventory[Retention_Recommendation], " ")</f>
        <v>Keep</v>
      </c>
      <c r="I35" t="str">
        <f>_xlfn.XLOOKUP(tblSharePoint[[#This Row],[File_ID]], tbl_inventory[File_ID], tbl_inventory[Disposition_Status], " ")</f>
        <v>Not Started</v>
      </c>
      <c r="J35" t="str">
        <f t="shared" si="0"/>
        <v>Yes</v>
      </c>
      <c r="K35" t="str">
        <f t="shared" si="1"/>
        <v>Corporate Services, Meeting Notes, Internal, MigrationReady</v>
      </c>
    </row>
    <row r="36" spans="1:11" hidden="1" x14ac:dyDescent="0.2">
      <c r="A36" t="s">
        <v>88</v>
      </c>
      <c r="B36" t="str">
        <f>_xlfn.XLOOKUP(tblSharePoint[[#This Row],[File_ID]], tbl_inventory[File_ID], tbl_inventory[Proposed_File_Name], " ")</f>
        <v>EmailExport_ApprovalRecord_Internal_2026-02-11_Draft</v>
      </c>
      <c r="C36" t="str">
        <f>_xlfn.XLOOKUP(tblSharePoint[[#This Row],[File_ID]], tbl_inventory[File_ID], tbl_inventory[Owners], " ")</f>
        <v xml:space="preserve">IM Lead </v>
      </c>
      <c r="D36" t="str">
        <f>_xlfn.XLOOKUP(tblSharePoint[[#This Row],[File_ID]], tbl_inventory[File_ID], tbl_inventory[Business_Area], " ")</f>
        <v>Corporate Services</v>
      </c>
      <c r="E36" t="str">
        <f>_xlfn.XLOOKUP(tblSharePoint[[#This Row],[File_ID]], tbl_inventory[File_ID], tbl_inventory[Record_Type], " ")</f>
        <v>Approval Record</v>
      </c>
      <c r="F36" t="str">
        <f>_xlfn.XLOOKUP(tblSharePoint[[#This Row],[File_ID]], tbl_inventory[File_ID], tbl_inventory[Sensitivity_Level], " ")</f>
        <v>Internal</v>
      </c>
      <c r="G36" t="str">
        <f>_xlfn.XLOOKUP(tblSharePoint[[#This Row],[File_ID]], tbl_inventory[File_ID], tbl_inventory[Version_Status], " ")</f>
        <v>Draft</v>
      </c>
      <c r="H36" t="str">
        <f>_xlfn.XLOOKUP(tblSharePoint[[#This Row],[File_ID]], tbl_inventory[File_ID], tbl_inventory[Retention_Recommendation], " ")</f>
        <v>Keep</v>
      </c>
      <c r="I36" t="str">
        <f>_xlfn.XLOOKUP(tblSharePoint[[#This Row],[File_ID]], tbl_inventory[File_ID], tbl_inventory[Disposition_Status], " ")</f>
        <v>Not Started</v>
      </c>
      <c r="J36" t="str">
        <f t="shared" si="0"/>
        <v>Yes</v>
      </c>
      <c r="K36" t="str">
        <f t="shared" si="1"/>
        <v>Corporate Services, Approval Record, Internal, MigrationReady</v>
      </c>
    </row>
    <row r="37" spans="1:11" x14ac:dyDescent="0.2">
      <c r="A37" t="s">
        <v>89</v>
      </c>
      <c r="B37" t="str">
        <f>_xlfn.XLOOKUP(tblSharePoint[[#This Row],[File_ID]], tbl_inventory[File_ID], tbl_inventory[Proposed_File_Name], " ")</f>
        <v>EmailExport_ApprovalRecord_Internal_2026-02-11_Superseded</v>
      </c>
      <c r="D37" t="str">
        <f>_xlfn.XLOOKUP(tblSharePoint[[#This Row],[File_ID]], tbl_inventory[File_ID], tbl_inventory[Business_Area], " ")</f>
        <v>Corporate Services</v>
      </c>
      <c r="E37" t="str">
        <f>_xlfn.XLOOKUP(tblSharePoint[[#This Row],[File_ID]], tbl_inventory[File_ID], tbl_inventory[Record_Type], " ")</f>
        <v>Approval Record</v>
      </c>
      <c r="F37" t="str">
        <f>_xlfn.XLOOKUP(tblSharePoint[[#This Row],[File_ID]], tbl_inventory[File_ID], tbl_inventory[Sensitivity_Level], " ")</f>
        <v>Internal</v>
      </c>
      <c r="G37" t="str">
        <f>_xlfn.XLOOKUP(tblSharePoint[[#This Row],[File_ID]], tbl_inventory[File_ID], tbl_inventory[Version_Status], " ")</f>
        <v>Superseded</v>
      </c>
      <c r="H37" t="str">
        <f>_xlfn.XLOOKUP(tblSharePoint[[#This Row],[File_ID]], tbl_inventory[File_ID], tbl_inventory[Retention_Recommendation], " ")</f>
        <v>Dispose</v>
      </c>
      <c r="I37" t="str">
        <f>_xlfn.XLOOKUP(tblSharePoint[[#This Row],[File_ID]], tbl_inventory[File_ID], tbl_inventory[Disposition_Status], " ")</f>
        <v>Pending Approval</v>
      </c>
      <c r="J37" t="str">
        <f t="shared" si="0"/>
        <v>No</v>
      </c>
      <c r="K37" t="str">
        <f t="shared" si="1"/>
        <v>Corporate Services, Approval Record, Internal, Superseded, Dispose, NotReady</v>
      </c>
    </row>
    <row r="38" spans="1:11" x14ac:dyDescent="0.2">
      <c r="A38" t="s">
        <v>90</v>
      </c>
      <c r="B38" t="str">
        <f>_xlfn.XLOOKUP(tblSharePoint[[#This Row],[File_ID]], tbl_inventory[File_ID], tbl_inventory[Proposed_File_Name], " ")</f>
        <v>Word_Unknown/Unclassified_Internal_2025-06-10_Draft</v>
      </c>
      <c r="D38" t="str">
        <f>_xlfn.XLOOKUP(tblSharePoint[[#This Row],[File_ID]], tbl_inventory[File_ID], tbl_inventory[Business_Area], " ")</f>
        <v>Corporate Services</v>
      </c>
      <c r="E38" t="str">
        <f>_xlfn.XLOOKUP(tblSharePoint[[#This Row],[File_ID]], tbl_inventory[File_ID], tbl_inventory[Record_Type], " ")</f>
        <v>Unknown / Unclassified</v>
      </c>
      <c r="F38" t="str">
        <f>_xlfn.XLOOKUP(tblSharePoint[[#This Row],[File_ID]], tbl_inventory[File_ID], tbl_inventory[Sensitivity_Level], " ")</f>
        <v>Internal</v>
      </c>
      <c r="G38" t="str">
        <f>_xlfn.XLOOKUP(tblSharePoint[[#This Row],[File_ID]], tbl_inventory[File_ID], tbl_inventory[Version_Status], " ")</f>
        <v>Draft</v>
      </c>
      <c r="H38" t="str">
        <f>_xlfn.XLOOKUP(tblSharePoint[[#This Row],[File_ID]], tbl_inventory[File_ID], tbl_inventory[Retention_Recommendation], " ")</f>
        <v>Review</v>
      </c>
      <c r="I38" t="str">
        <f>_xlfn.XLOOKUP(tblSharePoint[[#This Row],[File_ID]], tbl_inventory[File_ID], tbl_inventory[Disposition_Status], " ")</f>
        <v>Pending Owner</v>
      </c>
      <c r="J38" t="str">
        <f t="shared" si="0"/>
        <v>No</v>
      </c>
      <c r="K38" t="str">
        <f t="shared" si="1"/>
        <v>Corporate Services, Unknown / Unclassified, Internal, Orphan/PendingOwner, NotReady</v>
      </c>
    </row>
    <row r="39" spans="1:11" x14ac:dyDescent="0.2">
      <c r="A39" t="s">
        <v>91</v>
      </c>
      <c r="B39" t="str">
        <f>_xlfn.XLOOKUP(tblSharePoint[[#This Row],[File_ID]], tbl_inventory[File_ID], tbl_inventory[Proposed_File_Name], " ")</f>
        <v>Excel_Disposition/Archive_Internal_2024-12-02_Superseded</v>
      </c>
      <c r="D39" t="str">
        <f>_xlfn.XLOOKUP(tblSharePoint[[#This Row],[File_ID]], tbl_inventory[File_ID], tbl_inventory[Business_Area], " ")</f>
        <v>Corporate Services</v>
      </c>
      <c r="E39" t="str">
        <f>_xlfn.XLOOKUP(tblSharePoint[[#This Row],[File_ID]], tbl_inventory[File_ID], tbl_inventory[Record_Type], " ")</f>
        <v>Disposition / Archive</v>
      </c>
      <c r="F39" t="str">
        <f>_xlfn.XLOOKUP(tblSharePoint[[#This Row],[File_ID]], tbl_inventory[File_ID], tbl_inventory[Sensitivity_Level], " ")</f>
        <v>Internal</v>
      </c>
      <c r="G39" t="str">
        <f>_xlfn.XLOOKUP(tblSharePoint[[#This Row],[File_ID]], tbl_inventory[File_ID], tbl_inventory[Version_Status], " ")</f>
        <v>Superseded</v>
      </c>
      <c r="H39" t="str">
        <f>_xlfn.XLOOKUP(tblSharePoint[[#This Row],[File_ID]], tbl_inventory[File_ID], tbl_inventory[Retention_Recommendation], " ")</f>
        <v>Review</v>
      </c>
      <c r="I39" t="str">
        <f>_xlfn.XLOOKUP(tblSharePoint[[#This Row],[File_ID]], tbl_inventory[File_ID], tbl_inventory[Disposition_Status], " ")</f>
        <v>Pending Owner</v>
      </c>
      <c r="J39" t="str">
        <f t="shared" si="0"/>
        <v>No</v>
      </c>
      <c r="K39" t="str">
        <f t="shared" si="1"/>
        <v>Corporate Services, Disposition / Archive, Internal, Superseded, Orphan/PendingOwner, NotReady</v>
      </c>
    </row>
    <row r="40" spans="1:11" x14ac:dyDescent="0.2">
      <c r="A40" t="s">
        <v>92</v>
      </c>
      <c r="B40" t="str">
        <f>_xlfn.XLOOKUP(tblSharePoint[[#This Row],[File_ID]], tbl_inventory[File_ID], tbl_inventory[Proposed_File_Name], " ")</f>
        <v>Word_Transitory_Internal_2026-02-17_Draft</v>
      </c>
      <c r="D40" t="str">
        <f>_xlfn.XLOOKUP(tblSharePoint[[#This Row],[File_ID]], tbl_inventory[File_ID], tbl_inventory[Business_Area], " ")</f>
        <v>Corporate Services</v>
      </c>
      <c r="E40" t="str">
        <f>_xlfn.XLOOKUP(tblSharePoint[[#This Row],[File_ID]], tbl_inventory[File_ID], tbl_inventory[Record_Type], " ")</f>
        <v>Transitory</v>
      </c>
      <c r="F40" t="str">
        <f>_xlfn.XLOOKUP(tblSharePoint[[#This Row],[File_ID]], tbl_inventory[File_ID], tbl_inventory[Sensitivity_Level], " ")</f>
        <v>Internal</v>
      </c>
      <c r="G40" t="str">
        <f>_xlfn.XLOOKUP(tblSharePoint[[#This Row],[File_ID]], tbl_inventory[File_ID], tbl_inventory[Version_Status], " ")</f>
        <v>Draft</v>
      </c>
      <c r="H40" t="str">
        <f>_xlfn.XLOOKUP(tblSharePoint[[#This Row],[File_ID]], tbl_inventory[File_ID], tbl_inventory[Retention_Recommendation], " ")</f>
        <v>Dispose</v>
      </c>
      <c r="I40" t="str">
        <f>_xlfn.XLOOKUP(tblSharePoint[[#This Row],[File_ID]], tbl_inventory[File_ID], tbl_inventory[Disposition_Status], " ")</f>
        <v>Pending Owner</v>
      </c>
      <c r="J40" t="str">
        <f t="shared" si="0"/>
        <v>No</v>
      </c>
      <c r="K40" t="str">
        <f t="shared" si="1"/>
        <v>Corporate Services, Transitory, Internal, Dispose, Orphan/PendingOwner, NotReady</v>
      </c>
    </row>
  </sheetData>
  <pageMargins left="0.7" right="0.7" top="0.75" bottom="0.75" header="0.3" footer="0.3"/>
  <pageSetup orientation="portrait" horizontalDpi="0" verticalDpi="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C47EF-9E52-BD4B-BC28-F8039AD39335}">
  <dimension ref="A1:L40"/>
  <sheetViews>
    <sheetView showGridLines="0" showRowColHeaders="0" zoomScale="210" zoomScaleNormal="210" workbookViewId="0">
      <selection activeCell="C43" sqref="C43"/>
    </sheetView>
  </sheetViews>
  <sheetFormatPr baseColWidth="10" defaultRowHeight="15" x14ac:dyDescent="0.2"/>
  <cols>
    <col min="1" max="1" width="9.5" customWidth="1"/>
    <col min="2" max="2" width="44.1640625" customWidth="1"/>
    <col min="3" max="3" width="22.33203125" customWidth="1"/>
    <col min="4" max="4" width="17.5" customWidth="1"/>
    <col min="5" max="5" width="21.6640625" customWidth="1"/>
    <col min="6" max="6" width="16.5" customWidth="1"/>
    <col min="7" max="7" width="15" customWidth="1"/>
    <col min="8" max="8" width="26" customWidth="1"/>
    <col min="9" max="9" width="17.6640625" customWidth="1"/>
    <col min="10" max="10" width="16.6640625" customWidth="1"/>
    <col min="11" max="11" width="76.5" customWidth="1"/>
    <col min="12" max="12" width="8" customWidth="1"/>
  </cols>
  <sheetData>
    <row r="1" spans="1:12" x14ac:dyDescent="0.2">
      <c r="A1" t="s">
        <v>2</v>
      </c>
      <c r="B1" t="s">
        <v>4</v>
      </c>
      <c r="C1" t="s">
        <v>6</v>
      </c>
      <c r="D1" t="s">
        <v>7</v>
      </c>
      <c r="E1" t="s">
        <v>9</v>
      </c>
      <c r="F1" t="s">
        <v>12</v>
      </c>
      <c r="G1" t="s">
        <v>14</v>
      </c>
      <c r="H1" t="s">
        <v>20</v>
      </c>
      <c r="I1" t="s">
        <v>21</v>
      </c>
      <c r="J1" t="s">
        <v>505</v>
      </c>
      <c r="K1" t="s">
        <v>506</v>
      </c>
      <c r="L1" t="s">
        <v>1</v>
      </c>
    </row>
    <row r="2" spans="1:12" x14ac:dyDescent="0.2">
      <c r="A2" t="s">
        <v>54</v>
      </c>
      <c r="B2" t="s">
        <v>120</v>
      </c>
      <c r="C2" t="s">
        <v>111</v>
      </c>
      <c r="D2" t="s">
        <v>117</v>
      </c>
      <c r="E2" t="s">
        <v>121</v>
      </c>
      <c r="F2" t="s">
        <v>41</v>
      </c>
      <c r="G2" t="s">
        <v>36</v>
      </c>
      <c r="H2" t="s">
        <v>46</v>
      </c>
      <c r="I2" t="s">
        <v>49</v>
      </c>
      <c r="J2" t="s">
        <v>119</v>
      </c>
      <c r="K2" t="s">
        <v>507</v>
      </c>
    </row>
    <row r="3" spans="1:12" x14ac:dyDescent="0.2">
      <c r="A3" t="s">
        <v>55</v>
      </c>
      <c r="B3" t="s">
        <v>124</v>
      </c>
      <c r="C3" t="s">
        <v>112</v>
      </c>
      <c r="D3" t="s">
        <v>117</v>
      </c>
      <c r="E3" t="s">
        <v>121</v>
      </c>
      <c r="F3" t="s">
        <v>41</v>
      </c>
      <c r="G3" t="s">
        <v>36</v>
      </c>
      <c r="H3" t="s">
        <v>45</v>
      </c>
      <c r="I3" t="s">
        <v>49</v>
      </c>
      <c r="J3" t="s">
        <v>119</v>
      </c>
      <c r="K3" t="s">
        <v>508</v>
      </c>
    </row>
    <row r="4" spans="1:12" x14ac:dyDescent="0.2">
      <c r="A4" t="s">
        <v>56</v>
      </c>
      <c r="B4" t="s">
        <v>127</v>
      </c>
      <c r="C4" t="s">
        <v>111</v>
      </c>
      <c r="D4" t="s">
        <v>117</v>
      </c>
      <c r="E4" t="s">
        <v>128</v>
      </c>
      <c r="F4" t="s">
        <v>41</v>
      </c>
      <c r="G4" t="s">
        <v>37</v>
      </c>
      <c r="H4" t="s">
        <v>44</v>
      </c>
      <c r="I4" t="s">
        <v>47</v>
      </c>
      <c r="J4" t="s">
        <v>94</v>
      </c>
      <c r="K4" t="s">
        <v>509</v>
      </c>
    </row>
    <row r="5" spans="1:12" x14ac:dyDescent="0.2">
      <c r="A5" t="s">
        <v>57</v>
      </c>
      <c r="B5" t="s">
        <v>127</v>
      </c>
      <c r="C5" t="s">
        <v>111</v>
      </c>
      <c r="D5" t="s">
        <v>117</v>
      </c>
      <c r="E5" t="s">
        <v>128</v>
      </c>
      <c r="F5" t="s">
        <v>41</v>
      </c>
      <c r="G5" t="s">
        <v>131</v>
      </c>
      <c r="H5" t="s">
        <v>45</v>
      </c>
      <c r="I5" t="s">
        <v>49</v>
      </c>
      <c r="J5" t="s">
        <v>119</v>
      </c>
      <c r="K5" t="s">
        <v>510</v>
      </c>
    </row>
    <row r="6" spans="1:12" x14ac:dyDescent="0.2">
      <c r="A6" t="s">
        <v>58</v>
      </c>
      <c r="B6" t="s">
        <v>134</v>
      </c>
      <c r="C6" t="s">
        <v>112</v>
      </c>
      <c r="D6" t="s">
        <v>117</v>
      </c>
      <c r="E6" t="s">
        <v>135</v>
      </c>
      <c r="F6" t="s">
        <v>41</v>
      </c>
      <c r="G6" t="s">
        <v>36</v>
      </c>
      <c r="H6" t="s">
        <v>45</v>
      </c>
      <c r="I6" t="s">
        <v>48</v>
      </c>
      <c r="J6" t="s">
        <v>119</v>
      </c>
      <c r="K6" t="s">
        <v>511</v>
      </c>
    </row>
    <row r="7" spans="1:12" x14ac:dyDescent="0.2">
      <c r="A7" t="s">
        <v>59</v>
      </c>
      <c r="B7" t="s">
        <v>136</v>
      </c>
      <c r="C7" t="s">
        <v>113</v>
      </c>
      <c r="D7" t="s">
        <v>117</v>
      </c>
      <c r="E7" t="s">
        <v>137</v>
      </c>
      <c r="F7" t="s">
        <v>41</v>
      </c>
      <c r="G7" t="s">
        <v>37</v>
      </c>
      <c r="H7" t="s">
        <v>44</v>
      </c>
      <c r="I7" t="s">
        <v>47</v>
      </c>
      <c r="J7" t="s">
        <v>94</v>
      </c>
      <c r="K7" t="s">
        <v>512</v>
      </c>
    </row>
    <row r="8" spans="1:12" x14ac:dyDescent="0.2">
      <c r="A8" t="s">
        <v>60</v>
      </c>
      <c r="B8" t="s">
        <v>120</v>
      </c>
      <c r="D8" t="s">
        <v>117</v>
      </c>
      <c r="E8" t="s">
        <v>121</v>
      </c>
      <c r="F8" t="s">
        <v>41</v>
      </c>
      <c r="G8" t="s">
        <v>36</v>
      </c>
      <c r="H8" t="s">
        <v>45</v>
      </c>
      <c r="I8" t="s">
        <v>48</v>
      </c>
      <c r="J8" t="s">
        <v>119</v>
      </c>
      <c r="K8" t="s">
        <v>513</v>
      </c>
    </row>
    <row r="9" spans="1:12" x14ac:dyDescent="0.2">
      <c r="A9" t="s">
        <v>61</v>
      </c>
      <c r="B9" t="s">
        <v>141</v>
      </c>
      <c r="C9" t="s">
        <v>114</v>
      </c>
      <c r="D9" t="s">
        <v>117</v>
      </c>
      <c r="E9" t="s">
        <v>142</v>
      </c>
      <c r="F9" t="s">
        <v>41</v>
      </c>
      <c r="G9" t="s">
        <v>36</v>
      </c>
      <c r="H9" t="s">
        <v>45</v>
      </c>
      <c r="I9" t="s">
        <v>49</v>
      </c>
      <c r="J9" t="s">
        <v>119</v>
      </c>
      <c r="K9" t="s">
        <v>514</v>
      </c>
    </row>
    <row r="10" spans="1:12" x14ac:dyDescent="0.2">
      <c r="A10" t="s">
        <v>62</v>
      </c>
      <c r="B10" t="s">
        <v>141</v>
      </c>
      <c r="C10" t="s">
        <v>114</v>
      </c>
      <c r="D10" t="s">
        <v>117</v>
      </c>
      <c r="E10" t="s">
        <v>142</v>
      </c>
      <c r="F10" t="s">
        <v>41</v>
      </c>
      <c r="G10" t="s">
        <v>36</v>
      </c>
      <c r="H10" t="s">
        <v>44</v>
      </c>
      <c r="I10" t="s">
        <v>47</v>
      </c>
      <c r="J10" t="s">
        <v>94</v>
      </c>
      <c r="K10" t="s">
        <v>515</v>
      </c>
    </row>
    <row r="11" spans="1:12" x14ac:dyDescent="0.2">
      <c r="A11" t="s">
        <v>63</v>
      </c>
      <c r="B11" t="s">
        <v>145</v>
      </c>
      <c r="C11" t="s">
        <v>113</v>
      </c>
      <c r="D11" t="s">
        <v>28</v>
      </c>
      <c r="E11" t="s">
        <v>147</v>
      </c>
      <c r="F11" t="s">
        <v>41</v>
      </c>
      <c r="G11" t="s">
        <v>37</v>
      </c>
      <c r="H11" t="s">
        <v>44</v>
      </c>
      <c r="I11" t="s">
        <v>47</v>
      </c>
      <c r="J11" t="s">
        <v>94</v>
      </c>
      <c r="K11" t="s">
        <v>516</v>
      </c>
    </row>
    <row r="12" spans="1:12" x14ac:dyDescent="0.2">
      <c r="A12" t="s">
        <v>64</v>
      </c>
      <c r="B12" t="s">
        <v>151</v>
      </c>
      <c r="C12" t="s">
        <v>113</v>
      </c>
      <c r="D12" t="s">
        <v>28</v>
      </c>
      <c r="E12" t="s">
        <v>147</v>
      </c>
      <c r="F12" t="s">
        <v>41</v>
      </c>
      <c r="G12" t="s">
        <v>37</v>
      </c>
      <c r="H12" t="s">
        <v>44</v>
      </c>
      <c r="I12" t="s">
        <v>47</v>
      </c>
      <c r="J12" t="s">
        <v>94</v>
      </c>
      <c r="K12" t="s">
        <v>516</v>
      </c>
    </row>
    <row r="13" spans="1:12" x14ac:dyDescent="0.2">
      <c r="A13" t="s">
        <v>65</v>
      </c>
      <c r="B13" t="s">
        <v>154</v>
      </c>
      <c r="C13" t="s">
        <v>113</v>
      </c>
      <c r="D13" t="s">
        <v>28</v>
      </c>
      <c r="E13" t="s">
        <v>147</v>
      </c>
      <c r="F13" t="s">
        <v>41</v>
      </c>
      <c r="G13" t="s">
        <v>37</v>
      </c>
      <c r="H13" t="s">
        <v>44</v>
      </c>
      <c r="I13" t="s">
        <v>47</v>
      </c>
      <c r="J13" t="s">
        <v>94</v>
      </c>
      <c r="K13" t="s">
        <v>516</v>
      </c>
    </row>
    <row r="14" spans="1:12" x14ac:dyDescent="0.2">
      <c r="A14" t="s">
        <v>66</v>
      </c>
      <c r="B14" t="s">
        <v>157</v>
      </c>
      <c r="C14" t="s">
        <v>158</v>
      </c>
      <c r="D14" t="s">
        <v>28</v>
      </c>
      <c r="E14" t="s">
        <v>160</v>
      </c>
      <c r="F14" t="s">
        <v>41</v>
      </c>
      <c r="G14" t="s">
        <v>36</v>
      </c>
      <c r="H14" t="s">
        <v>46</v>
      </c>
      <c r="I14" t="s">
        <v>49</v>
      </c>
      <c r="J14" t="s">
        <v>119</v>
      </c>
      <c r="K14" t="s">
        <v>517</v>
      </c>
    </row>
    <row r="15" spans="1:12" x14ac:dyDescent="0.2">
      <c r="A15" t="s">
        <v>67</v>
      </c>
      <c r="B15" t="s">
        <v>164</v>
      </c>
      <c r="C15" t="s">
        <v>158</v>
      </c>
      <c r="D15" t="s">
        <v>28</v>
      </c>
      <c r="E15" t="s">
        <v>160</v>
      </c>
      <c r="F15" t="s">
        <v>41</v>
      </c>
      <c r="G15" t="s">
        <v>37</v>
      </c>
      <c r="H15" t="s">
        <v>46</v>
      </c>
      <c r="I15" t="s">
        <v>49</v>
      </c>
      <c r="J15" t="s">
        <v>119</v>
      </c>
      <c r="K15" t="s">
        <v>517</v>
      </c>
    </row>
    <row r="16" spans="1:12" x14ac:dyDescent="0.2">
      <c r="A16" t="s">
        <v>70</v>
      </c>
      <c r="B16" t="s">
        <v>164</v>
      </c>
      <c r="C16" t="s">
        <v>158</v>
      </c>
      <c r="D16" t="s">
        <v>28</v>
      </c>
      <c r="E16" t="s">
        <v>160</v>
      </c>
      <c r="F16" t="s">
        <v>41</v>
      </c>
      <c r="G16" t="s">
        <v>37</v>
      </c>
      <c r="H16" t="s">
        <v>44</v>
      </c>
      <c r="I16" t="s">
        <v>49</v>
      </c>
      <c r="J16" t="s">
        <v>94</v>
      </c>
      <c r="K16" t="s">
        <v>518</v>
      </c>
    </row>
    <row r="17" spans="1:11" x14ac:dyDescent="0.2">
      <c r="A17" t="s">
        <v>68</v>
      </c>
      <c r="B17" t="s">
        <v>172</v>
      </c>
      <c r="C17" t="s">
        <v>112</v>
      </c>
      <c r="D17" t="s">
        <v>28</v>
      </c>
      <c r="E17" t="s">
        <v>173</v>
      </c>
      <c r="F17" t="s">
        <v>41</v>
      </c>
      <c r="G17" t="s">
        <v>36</v>
      </c>
      <c r="H17" t="s">
        <v>45</v>
      </c>
      <c r="I17" t="s">
        <v>49</v>
      </c>
      <c r="J17" t="s">
        <v>119</v>
      </c>
      <c r="K17" t="s">
        <v>519</v>
      </c>
    </row>
    <row r="18" spans="1:11" x14ac:dyDescent="0.2">
      <c r="A18" t="s">
        <v>69</v>
      </c>
      <c r="B18" t="s">
        <v>178</v>
      </c>
      <c r="C18" t="s">
        <v>158</v>
      </c>
      <c r="D18" t="s">
        <v>28</v>
      </c>
      <c r="E18" t="s">
        <v>173</v>
      </c>
      <c r="F18" t="s">
        <v>41</v>
      </c>
      <c r="G18" t="s">
        <v>37</v>
      </c>
      <c r="H18" t="s">
        <v>44</v>
      </c>
      <c r="I18" t="s">
        <v>47</v>
      </c>
      <c r="J18" t="s">
        <v>94</v>
      </c>
      <c r="K18" t="s">
        <v>520</v>
      </c>
    </row>
    <row r="19" spans="1:11" x14ac:dyDescent="0.2">
      <c r="A19" t="s">
        <v>71</v>
      </c>
      <c r="B19" t="s">
        <v>181</v>
      </c>
      <c r="C19" t="s">
        <v>112</v>
      </c>
      <c r="D19" t="s">
        <v>28</v>
      </c>
      <c r="E19" t="s">
        <v>182</v>
      </c>
      <c r="F19" t="s">
        <v>41</v>
      </c>
      <c r="G19" t="s">
        <v>36</v>
      </c>
      <c r="H19" t="s">
        <v>45</v>
      </c>
      <c r="I19" t="s">
        <v>49</v>
      </c>
      <c r="J19" t="s">
        <v>119</v>
      </c>
      <c r="K19" t="s">
        <v>521</v>
      </c>
    </row>
    <row r="20" spans="1:11" x14ac:dyDescent="0.2">
      <c r="A20" t="s">
        <v>72</v>
      </c>
      <c r="B20" t="s">
        <v>186</v>
      </c>
      <c r="C20" t="s">
        <v>158</v>
      </c>
      <c r="D20" t="s">
        <v>28</v>
      </c>
      <c r="E20" t="s">
        <v>187</v>
      </c>
      <c r="F20" t="s">
        <v>41</v>
      </c>
      <c r="G20" t="s">
        <v>36</v>
      </c>
      <c r="H20" t="s">
        <v>46</v>
      </c>
      <c r="I20" t="s">
        <v>49</v>
      </c>
      <c r="J20" t="s">
        <v>119</v>
      </c>
      <c r="K20" t="s">
        <v>522</v>
      </c>
    </row>
    <row r="21" spans="1:11" x14ac:dyDescent="0.2">
      <c r="A21" t="s">
        <v>73</v>
      </c>
      <c r="B21" t="s">
        <v>191</v>
      </c>
      <c r="C21" t="s">
        <v>113</v>
      </c>
      <c r="D21" t="s">
        <v>25</v>
      </c>
      <c r="E21" t="s">
        <v>193</v>
      </c>
      <c r="F21" t="s">
        <v>41</v>
      </c>
      <c r="G21" t="s">
        <v>36</v>
      </c>
      <c r="H21" t="s">
        <v>46</v>
      </c>
      <c r="I21" t="s">
        <v>49</v>
      </c>
      <c r="J21" t="s">
        <v>119</v>
      </c>
      <c r="K21" t="s">
        <v>523</v>
      </c>
    </row>
    <row r="22" spans="1:11" x14ac:dyDescent="0.2">
      <c r="A22" t="s">
        <v>74</v>
      </c>
      <c r="B22" t="s">
        <v>197</v>
      </c>
      <c r="C22" t="s">
        <v>113</v>
      </c>
      <c r="D22" t="s">
        <v>25</v>
      </c>
      <c r="E22" t="s">
        <v>193</v>
      </c>
      <c r="F22" t="s">
        <v>41</v>
      </c>
      <c r="G22" t="s">
        <v>37</v>
      </c>
      <c r="H22" t="s">
        <v>44</v>
      </c>
      <c r="I22" t="s">
        <v>47</v>
      </c>
      <c r="J22" t="s">
        <v>94</v>
      </c>
      <c r="K22" t="s">
        <v>524</v>
      </c>
    </row>
    <row r="23" spans="1:11" x14ac:dyDescent="0.2">
      <c r="A23" t="s">
        <v>75</v>
      </c>
      <c r="B23" t="s">
        <v>197</v>
      </c>
      <c r="C23" t="s">
        <v>113</v>
      </c>
      <c r="D23" t="s">
        <v>25</v>
      </c>
      <c r="E23" t="s">
        <v>193</v>
      </c>
      <c r="F23" t="s">
        <v>41</v>
      </c>
      <c r="G23" t="s">
        <v>131</v>
      </c>
      <c r="H23" t="s">
        <v>45</v>
      </c>
      <c r="I23" t="s">
        <v>49</v>
      </c>
      <c r="J23" t="s">
        <v>119</v>
      </c>
      <c r="K23" t="s">
        <v>525</v>
      </c>
    </row>
    <row r="24" spans="1:11" x14ac:dyDescent="0.2">
      <c r="A24" t="s">
        <v>76</v>
      </c>
      <c r="B24" t="s">
        <v>204</v>
      </c>
      <c r="C24" t="s">
        <v>205</v>
      </c>
      <c r="D24" t="s">
        <v>25</v>
      </c>
      <c r="E24" t="s">
        <v>206</v>
      </c>
      <c r="F24" t="s">
        <v>41</v>
      </c>
      <c r="G24" t="s">
        <v>37</v>
      </c>
      <c r="H24" t="s">
        <v>44</v>
      </c>
      <c r="I24" t="s">
        <v>47</v>
      </c>
      <c r="J24" t="s">
        <v>94</v>
      </c>
      <c r="K24" t="s">
        <v>526</v>
      </c>
    </row>
    <row r="25" spans="1:11" x14ac:dyDescent="0.2">
      <c r="A25" t="s">
        <v>77</v>
      </c>
      <c r="B25" t="s">
        <v>210</v>
      </c>
      <c r="C25" t="s">
        <v>111</v>
      </c>
      <c r="D25" t="s">
        <v>25</v>
      </c>
      <c r="E25" t="s">
        <v>211</v>
      </c>
      <c r="F25" t="s">
        <v>41</v>
      </c>
      <c r="G25" t="s">
        <v>36</v>
      </c>
      <c r="H25" t="s">
        <v>45</v>
      </c>
      <c r="I25" t="s">
        <v>49</v>
      </c>
      <c r="J25" t="s">
        <v>119</v>
      </c>
      <c r="K25" t="s">
        <v>527</v>
      </c>
    </row>
    <row r="26" spans="1:11" x14ac:dyDescent="0.2">
      <c r="A26" t="s">
        <v>78</v>
      </c>
      <c r="B26" t="s">
        <v>210</v>
      </c>
      <c r="C26" t="s">
        <v>111</v>
      </c>
      <c r="D26" t="s">
        <v>25</v>
      </c>
      <c r="E26" t="s">
        <v>211</v>
      </c>
      <c r="F26" t="s">
        <v>41</v>
      </c>
      <c r="G26" t="s">
        <v>37</v>
      </c>
      <c r="H26" t="s">
        <v>44</v>
      </c>
      <c r="I26" t="s">
        <v>47</v>
      </c>
      <c r="J26" t="s">
        <v>94</v>
      </c>
      <c r="K26" t="s">
        <v>528</v>
      </c>
    </row>
    <row r="27" spans="1:11" x14ac:dyDescent="0.2">
      <c r="A27" t="s">
        <v>79</v>
      </c>
      <c r="B27" t="s">
        <v>218</v>
      </c>
      <c r="C27" t="s">
        <v>114</v>
      </c>
      <c r="D27" t="s">
        <v>25</v>
      </c>
      <c r="E27" t="s">
        <v>219</v>
      </c>
      <c r="F27" t="s">
        <v>41</v>
      </c>
      <c r="G27" t="s">
        <v>36</v>
      </c>
      <c r="H27" t="s">
        <v>46</v>
      </c>
      <c r="I27" t="s">
        <v>49</v>
      </c>
      <c r="J27" t="s">
        <v>119</v>
      </c>
      <c r="K27" t="s">
        <v>529</v>
      </c>
    </row>
    <row r="28" spans="1:11" x14ac:dyDescent="0.2">
      <c r="A28" t="s">
        <v>80</v>
      </c>
      <c r="B28" t="s">
        <v>224</v>
      </c>
      <c r="C28" t="s">
        <v>114</v>
      </c>
      <c r="D28" t="s">
        <v>25</v>
      </c>
      <c r="E28" t="s">
        <v>219</v>
      </c>
      <c r="F28" t="s">
        <v>41</v>
      </c>
      <c r="G28" t="s">
        <v>37</v>
      </c>
      <c r="H28" t="s">
        <v>44</v>
      </c>
      <c r="I28" t="s">
        <v>47</v>
      </c>
      <c r="J28" t="s">
        <v>94</v>
      </c>
      <c r="K28" t="s">
        <v>530</v>
      </c>
    </row>
    <row r="29" spans="1:11" x14ac:dyDescent="0.2">
      <c r="A29" t="s">
        <v>81</v>
      </c>
      <c r="B29" t="s">
        <v>228</v>
      </c>
      <c r="C29" t="s">
        <v>113</v>
      </c>
      <c r="D29" t="s">
        <v>25</v>
      </c>
      <c r="E29" t="s">
        <v>229</v>
      </c>
      <c r="F29" t="s">
        <v>41</v>
      </c>
      <c r="G29" t="s">
        <v>37</v>
      </c>
      <c r="H29" t="s">
        <v>44</v>
      </c>
      <c r="I29" t="s">
        <v>47</v>
      </c>
      <c r="J29" t="s">
        <v>94</v>
      </c>
      <c r="K29" t="s">
        <v>531</v>
      </c>
    </row>
    <row r="30" spans="1:11" x14ac:dyDescent="0.2">
      <c r="A30" t="s">
        <v>82</v>
      </c>
      <c r="B30" t="s">
        <v>233</v>
      </c>
      <c r="D30" t="s">
        <v>25</v>
      </c>
      <c r="E30" t="s">
        <v>234</v>
      </c>
      <c r="F30" t="s">
        <v>42</v>
      </c>
      <c r="G30" t="s">
        <v>36</v>
      </c>
      <c r="H30" t="s">
        <v>46</v>
      </c>
      <c r="I30" t="s">
        <v>48</v>
      </c>
      <c r="J30" t="s">
        <v>119</v>
      </c>
      <c r="K30" t="s">
        <v>532</v>
      </c>
    </row>
    <row r="31" spans="1:11" x14ac:dyDescent="0.2">
      <c r="A31" t="s">
        <v>83</v>
      </c>
      <c r="B31" t="s">
        <v>237</v>
      </c>
      <c r="C31" t="s">
        <v>112</v>
      </c>
      <c r="D31" t="s">
        <v>39</v>
      </c>
      <c r="E31" t="s">
        <v>239</v>
      </c>
      <c r="F31" t="s">
        <v>41</v>
      </c>
      <c r="G31" t="s">
        <v>36</v>
      </c>
      <c r="H31" t="s">
        <v>45</v>
      </c>
      <c r="I31" t="s">
        <v>49</v>
      </c>
      <c r="J31" t="s">
        <v>119</v>
      </c>
      <c r="K31" t="s">
        <v>533</v>
      </c>
    </row>
    <row r="32" spans="1:11" x14ac:dyDescent="0.2">
      <c r="A32" t="s">
        <v>84</v>
      </c>
      <c r="B32" t="s">
        <v>242</v>
      </c>
      <c r="C32" t="s">
        <v>205</v>
      </c>
      <c r="D32" t="s">
        <v>39</v>
      </c>
      <c r="E32" t="s">
        <v>239</v>
      </c>
      <c r="F32" t="s">
        <v>41</v>
      </c>
      <c r="G32" t="s">
        <v>36</v>
      </c>
      <c r="H32" t="s">
        <v>46</v>
      </c>
      <c r="I32" t="s">
        <v>49</v>
      </c>
      <c r="J32" t="s">
        <v>119</v>
      </c>
      <c r="K32" t="s">
        <v>534</v>
      </c>
    </row>
    <row r="33" spans="1:11" x14ac:dyDescent="0.2">
      <c r="A33" t="s">
        <v>85</v>
      </c>
      <c r="B33" t="s">
        <v>242</v>
      </c>
      <c r="C33" t="s">
        <v>205</v>
      </c>
      <c r="D33" t="s">
        <v>39</v>
      </c>
      <c r="E33" t="s">
        <v>239</v>
      </c>
      <c r="F33" t="s">
        <v>41</v>
      </c>
      <c r="G33" t="s">
        <v>37</v>
      </c>
      <c r="H33" t="s">
        <v>44</v>
      </c>
      <c r="I33" t="s">
        <v>47</v>
      </c>
      <c r="J33" t="s">
        <v>94</v>
      </c>
      <c r="K33" t="s">
        <v>535</v>
      </c>
    </row>
    <row r="34" spans="1:11" x14ac:dyDescent="0.2">
      <c r="A34" t="s">
        <v>86</v>
      </c>
      <c r="B34" t="s">
        <v>249</v>
      </c>
      <c r="C34" t="s">
        <v>111</v>
      </c>
      <c r="D34" t="s">
        <v>39</v>
      </c>
      <c r="E34" t="s">
        <v>250</v>
      </c>
      <c r="F34" t="s">
        <v>41</v>
      </c>
      <c r="G34" t="s">
        <v>37</v>
      </c>
      <c r="H34" t="s">
        <v>44</v>
      </c>
      <c r="I34" t="s">
        <v>47</v>
      </c>
      <c r="J34" t="s">
        <v>94</v>
      </c>
      <c r="K34" t="s">
        <v>536</v>
      </c>
    </row>
    <row r="35" spans="1:11" x14ac:dyDescent="0.2">
      <c r="A35" t="s">
        <v>87</v>
      </c>
      <c r="B35" t="s">
        <v>254</v>
      </c>
      <c r="C35" t="s">
        <v>111</v>
      </c>
      <c r="D35" t="s">
        <v>39</v>
      </c>
      <c r="E35" t="s">
        <v>250</v>
      </c>
      <c r="F35" t="s">
        <v>41</v>
      </c>
      <c r="G35" t="s">
        <v>37</v>
      </c>
      <c r="H35" t="s">
        <v>44</v>
      </c>
      <c r="I35" t="s">
        <v>47</v>
      </c>
      <c r="J35" t="s">
        <v>94</v>
      </c>
      <c r="K35" t="s">
        <v>536</v>
      </c>
    </row>
    <row r="36" spans="1:11" x14ac:dyDescent="0.2">
      <c r="A36" t="s">
        <v>88</v>
      </c>
      <c r="B36" t="s">
        <v>256</v>
      </c>
      <c r="C36" t="s">
        <v>114</v>
      </c>
      <c r="D36" t="s">
        <v>39</v>
      </c>
      <c r="E36" t="s">
        <v>257</v>
      </c>
      <c r="F36" t="s">
        <v>41</v>
      </c>
      <c r="G36" t="s">
        <v>36</v>
      </c>
      <c r="H36" t="s">
        <v>44</v>
      </c>
      <c r="I36" t="s">
        <v>47</v>
      </c>
      <c r="J36" t="s">
        <v>94</v>
      </c>
      <c r="K36" t="s">
        <v>537</v>
      </c>
    </row>
    <row r="37" spans="1:11" x14ac:dyDescent="0.2">
      <c r="A37" t="s">
        <v>89</v>
      </c>
      <c r="B37" t="s">
        <v>256</v>
      </c>
      <c r="C37" t="s">
        <v>114</v>
      </c>
      <c r="D37" t="s">
        <v>39</v>
      </c>
      <c r="E37" t="s">
        <v>257</v>
      </c>
      <c r="F37" t="s">
        <v>41</v>
      </c>
      <c r="G37" t="s">
        <v>131</v>
      </c>
      <c r="H37" t="s">
        <v>45</v>
      </c>
      <c r="I37" t="s">
        <v>49</v>
      </c>
      <c r="J37" t="s">
        <v>119</v>
      </c>
      <c r="K37" t="s">
        <v>538</v>
      </c>
    </row>
    <row r="38" spans="1:11" x14ac:dyDescent="0.2">
      <c r="A38" t="s">
        <v>90</v>
      </c>
      <c r="B38" t="s">
        <v>264</v>
      </c>
      <c r="D38" t="s">
        <v>39</v>
      </c>
      <c r="E38" t="s">
        <v>265</v>
      </c>
      <c r="F38" t="s">
        <v>41</v>
      </c>
      <c r="G38" t="s">
        <v>36</v>
      </c>
      <c r="H38" t="s">
        <v>46</v>
      </c>
      <c r="I38" t="s">
        <v>48</v>
      </c>
      <c r="J38" t="s">
        <v>119</v>
      </c>
      <c r="K38" t="s">
        <v>539</v>
      </c>
    </row>
    <row r="39" spans="1:11" x14ac:dyDescent="0.2">
      <c r="A39" t="s">
        <v>91</v>
      </c>
      <c r="B39" t="s">
        <v>268</v>
      </c>
      <c r="D39" t="s">
        <v>39</v>
      </c>
      <c r="E39" t="s">
        <v>269</v>
      </c>
      <c r="F39" t="s">
        <v>41</v>
      </c>
      <c r="G39" t="s">
        <v>131</v>
      </c>
      <c r="H39" t="s">
        <v>46</v>
      </c>
      <c r="I39" t="s">
        <v>48</v>
      </c>
      <c r="J39" t="s">
        <v>119</v>
      </c>
      <c r="K39" t="s">
        <v>540</v>
      </c>
    </row>
    <row r="40" spans="1:11" x14ac:dyDescent="0.2">
      <c r="A40" t="s">
        <v>92</v>
      </c>
      <c r="B40" t="s">
        <v>272</v>
      </c>
      <c r="D40" t="s">
        <v>39</v>
      </c>
      <c r="E40" t="s">
        <v>273</v>
      </c>
      <c r="F40" t="s">
        <v>41</v>
      </c>
      <c r="G40" t="s">
        <v>36</v>
      </c>
      <c r="H40" t="s">
        <v>45</v>
      </c>
      <c r="I40" t="s">
        <v>48</v>
      </c>
      <c r="J40" t="s">
        <v>119</v>
      </c>
      <c r="K40" t="s">
        <v>541</v>
      </c>
    </row>
  </sheetData>
  <pageMargins left="0.7" right="0.7" top="0.75" bottom="0.75" header="0.3" footer="0.3"/>
  <pageSetup orientation="portrait" horizontalDpi="0" verticalDpi="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CCAC8-119E-C747-BA79-183E47500CB4}">
  <dimension ref="A2:K12"/>
  <sheetViews>
    <sheetView showGridLines="0" showRowColHeaders="0" zoomScale="242" zoomScaleNormal="242" workbookViewId="0">
      <selection activeCell="H15" sqref="H15"/>
    </sheetView>
  </sheetViews>
  <sheetFormatPr baseColWidth="10" defaultRowHeight="15" x14ac:dyDescent="0.2"/>
  <cols>
    <col min="1" max="1" width="20.33203125" customWidth="1"/>
    <col min="2" max="2" width="13.33203125" customWidth="1"/>
    <col min="3" max="3" width="9.33203125" customWidth="1"/>
    <col min="4" max="4" width="14.83203125" customWidth="1"/>
    <col min="5" max="5" width="21.1640625" customWidth="1"/>
    <col min="6" max="6" width="23.33203125" customWidth="1"/>
    <col min="7" max="7" width="18.5" customWidth="1"/>
    <col min="8" max="8" width="13.83203125" customWidth="1"/>
    <col min="9" max="9" width="17.83203125" customWidth="1"/>
    <col min="10" max="10" width="56.5" customWidth="1"/>
    <col min="11" max="11" width="43.1640625" customWidth="1"/>
  </cols>
  <sheetData>
    <row r="2" spans="1:11" ht="21" x14ac:dyDescent="0.25">
      <c r="A2" s="7" t="s">
        <v>502</v>
      </c>
      <c r="B2" s="7"/>
    </row>
    <row r="3" spans="1:11" ht="14" customHeight="1" x14ac:dyDescent="0.25">
      <c r="A3" s="16" t="s">
        <v>673</v>
      </c>
      <c r="B3" s="16"/>
      <c r="C3" s="16"/>
      <c r="D3" s="16"/>
      <c r="E3" s="16"/>
      <c r="F3" s="7"/>
    </row>
    <row r="4" spans="1:11" x14ac:dyDescent="0.2">
      <c r="A4" s="16" t="s">
        <v>675</v>
      </c>
      <c r="B4" s="16"/>
      <c r="C4" s="16"/>
      <c r="D4" s="16"/>
      <c r="E4" s="16"/>
      <c r="F4" s="16"/>
    </row>
    <row r="5" spans="1:11" ht="14" customHeight="1" x14ac:dyDescent="0.2">
      <c r="A5" s="17" t="s">
        <v>503</v>
      </c>
      <c r="B5" s="18"/>
      <c r="C5" s="18"/>
      <c r="D5" s="18"/>
      <c r="E5" s="18"/>
      <c r="F5" s="18"/>
    </row>
    <row r="6" spans="1:11" x14ac:dyDescent="0.2">
      <c r="A6" t="s">
        <v>504</v>
      </c>
    </row>
    <row r="8" spans="1:11" ht="21" x14ac:dyDescent="0.25">
      <c r="A8" s="15" t="s">
        <v>147</v>
      </c>
      <c r="B8" s="15"/>
      <c r="C8" s="15"/>
    </row>
    <row r="9" spans="1:11" ht="16" x14ac:dyDescent="0.2">
      <c r="A9" t="s">
        <v>485</v>
      </c>
      <c r="B9" t="s">
        <v>486</v>
      </c>
      <c r="C9" t="s">
        <v>487</v>
      </c>
      <c r="D9" t="s">
        <v>488</v>
      </c>
      <c r="E9" t="s">
        <v>489</v>
      </c>
      <c r="F9" t="s">
        <v>490</v>
      </c>
      <c r="G9" t="s">
        <v>495</v>
      </c>
      <c r="H9" t="s">
        <v>491</v>
      </c>
      <c r="I9" t="s">
        <v>492</v>
      </c>
      <c r="J9" s="6" t="s">
        <v>493</v>
      </c>
      <c r="K9" t="s">
        <v>494</v>
      </c>
    </row>
    <row r="10" spans="1:11" ht="16" x14ac:dyDescent="0.2">
      <c r="A10" s="3">
        <v>46054</v>
      </c>
      <c r="B10">
        <v>15</v>
      </c>
      <c r="C10">
        <v>10</v>
      </c>
      <c r="D10">
        <v>5</v>
      </c>
      <c r="E10">
        <v>4</v>
      </c>
      <c r="F10">
        <v>2</v>
      </c>
      <c r="G10">
        <v>1</v>
      </c>
      <c r="H10">
        <v>1</v>
      </c>
      <c r="I10">
        <v>3</v>
      </c>
      <c r="J10" s="6" t="s">
        <v>496</v>
      </c>
      <c r="K10" t="s">
        <v>497</v>
      </c>
    </row>
    <row r="11" spans="1:11" ht="16" x14ac:dyDescent="0.2">
      <c r="A11" s="3">
        <v>46061</v>
      </c>
      <c r="B11">
        <v>15</v>
      </c>
      <c r="C11">
        <v>9</v>
      </c>
      <c r="D11">
        <v>6</v>
      </c>
      <c r="E11">
        <v>4</v>
      </c>
      <c r="F11">
        <v>4</v>
      </c>
      <c r="G11">
        <v>2</v>
      </c>
      <c r="H11">
        <v>2</v>
      </c>
      <c r="I11">
        <v>5</v>
      </c>
      <c r="J11" s="6" t="s">
        <v>498</v>
      </c>
      <c r="K11" t="s">
        <v>499</v>
      </c>
    </row>
    <row r="12" spans="1:11" ht="15" customHeight="1" x14ac:dyDescent="0.2">
      <c r="A12" s="3">
        <v>46068</v>
      </c>
      <c r="B12">
        <v>10</v>
      </c>
      <c r="C12">
        <v>6</v>
      </c>
      <c r="D12">
        <v>4</v>
      </c>
      <c r="E12">
        <v>2</v>
      </c>
      <c r="F12">
        <v>4</v>
      </c>
      <c r="G12">
        <v>2</v>
      </c>
      <c r="H12">
        <v>3</v>
      </c>
      <c r="I12">
        <v>4</v>
      </c>
      <c r="J12" s="6" t="s">
        <v>501</v>
      </c>
      <c r="K12" t="s">
        <v>500</v>
      </c>
    </row>
  </sheetData>
  <mergeCells count="4">
    <mergeCell ref="A8:C8"/>
    <mergeCell ref="A3:E3"/>
    <mergeCell ref="A4:F4"/>
    <mergeCell ref="A5:F5"/>
  </mergeCells>
  <pageMargins left="0.7" right="0.7" top="0.75" bottom="0.75" header="0.3" footer="0.3"/>
  <pageSetup orientation="portrait" horizontalDpi="0" verticalDpi="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EBC66-2634-3E43-AB0F-745E30F39F6F}">
  <dimension ref="A1"/>
  <sheetViews>
    <sheetView showGridLines="0" showRowColHeaders="0" tabSelected="1" topLeftCell="B2" zoomScale="134" zoomScaleNormal="100" workbookViewId="0">
      <selection activeCell="X20" sqref="X20"/>
    </sheetView>
  </sheetViews>
  <sheetFormatPr baseColWidth="10" defaultRowHeight="15" x14ac:dyDescent="0.2"/>
  <sheetData/>
  <pageMargins left="0.7" right="0.7" top="0.75" bottom="0.75" header="0.3" footer="0.3"/>
  <pageSetup orientation="portrait" horizontalDpi="0" verticalDpi="0"/>
  <drawing r:id="rId1"/>
</worksheet>
</file>

<file path=docMetadata/LabelInfo.xml><?xml version="1.0" encoding="utf-8"?>
<clbl:labelList xmlns:clbl="http://schemas.microsoft.com/office/2020/mipLabelMetadata">
  <clbl:label id="{034a106e-6316-442c-ad35-738afd673d2b}" enabled="1" method="Standard" siteId="{cddc1229-ac2a-4b97-b78a-0e5cacb5865c}"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Lookup_Lists</vt:lpstr>
      <vt:lpstr>File_inventory</vt:lpstr>
      <vt:lpstr>Inventory_Staging</vt:lpstr>
      <vt:lpstr>Renaming_Rules</vt:lpstr>
      <vt:lpstr>Disposition_List</vt:lpstr>
      <vt:lpstr>Dedup_Log</vt:lpstr>
      <vt:lpstr>Tagging_Schema</vt:lpstr>
      <vt:lpstr>SharePoint_Inventory</vt:lpstr>
      <vt:lpstr>SharePoint_Inventory_Export</vt:lpstr>
      <vt:lpstr>Weekly_Status</vt:lpstr>
      <vt:lpstr>Project_Summary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Terry, Jennifer (EDU)</dc:creator>
  <cp:lastModifiedBy>Emily Burke</cp:lastModifiedBy>
  <dcterms:created xsi:type="dcterms:W3CDTF">2024-09-17T14:29:51Z</dcterms:created>
  <dcterms:modified xsi:type="dcterms:W3CDTF">2026-03-19T11:49:56Z</dcterms:modified>
</cp:coreProperties>
</file>